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firstSheet="3" activeTab="5"/>
  </bookViews>
  <sheets>
    <sheet name="profit" sheetId="17" r:id="rId1"/>
    <sheet name="wave" sheetId="26" r:id="rId2"/>
    <sheet name="random_wave" sheetId="30" r:id="rId3"/>
    <sheet name="image_cfg" sheetId="28" r:id="rId4"/>
    <sheet name="group" sheetId="7" r:id="rId5"/>
    <sheet name="use_fish" sheetId="14" r:id="rId6"/>
    <sheet name="activity" sheetId="5" r:id="rId7"/>
    <sheet name="base_fish" sheetId="1" r:id="rId8"/>
    <sheet name="path" sheetId="2" r:id="rId9"/>
    <sheet name="laser" sheetId="18" r:id="rId10"/>
    <sheet name="gun" sheetId="25" r:id="rId11"/>
    <sheet name="skill" sheetId="29" r:id="rId12"/>
    <sheet name="dead_mode" sheetId="31" r:id="rId13"/>
    <sheet name="box_fish_award" sheetId="32" r:id="rId14"/>
  </sheets>
  <definedNames>
    <definedName name="_xlnm._FilterDatabase" localSheetId="4" hidden="1">group!$H$1:$H$129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" i="1" l="1"/>
  <c r="F18" i="5"/>
  <c r="F17" i="5"/>
  <c r="F16" i="5"/>
  <c r="G2" i="30"/>
  <c r="F2" i="30"/>
  <c r="D10" i="14"/>
  <c r="H18" i="7"/>
  <c r="D9" i="14"/>
  <c r="H17" i="7"/>
  <c r="D8" i="14"/>
  <c r="H16" i="7"/>
  <c r="D7" i="14"/>
  <c r="H15" i="7"/>
  <c r="D6" i="14"/>
  <c r="H14" i="7"/>
  <c r="D5" i="14"/>
  <c r="H13" i="7"/>
  <c r="D3" i="18"/>
  <c r="D4" i="18"/>
  <c r="D5" i="18"/>
  <c r="D6" i="18"/>
  <c r="D7" i="18"/>
  <c r="D8" i="18"/>
  <c r="D9" i="18"/>
  <c r="D10" i="18"/>
  <c r="D11" i="18"/>
  <c r="D2" i="18"/>
  <c r="D102" i="14"/>
  <c r="H117" i="7"/>
  <c r="H118" i="7"/>
  <c r="H119" i="7"/>
  <c r="H120" i="7"/>
  <c r="D11" i="14"/>
  <c r="H121" i="7"/>
  <c r="D87" i="14"/>
  <c r="D89" i="14"/>
  <c r="D15" i="14"/>
  <c r="H122" i="7"/>
  <c r="D16" i="14"/>
  <c r="D17" i="14"/>
  <c r="D12" i="14"/>
  <c r="H123" i="7"/>
  <c r="D13" i="14"/>
  <c r="H124" i="7"/>
  <c r="H125" i="7"/>
  <c r="H126" i="7"/>
  <c r="D19" i="14"/>
  <c r="D18" i="14"/>
  <c r="H127" i="7"/>
  <c r="H128" i="7"/>
  <c r="H129" i="7"/>
  <c r="D3" i="14"/>
  <c r="D4" i="14"/>
  <c r="D2" i="14"/>
  <c r="H26" i="7"/>
  <c r="H27" i="7"/>
  <c r="D14" i="14"/>
  <c r="D91" i="14"/>
  <c r="H28" i="7"/>
  <c r="H29" i="7"/>
  <c r="H30" i="7"/>
  <c r="H31" i="7"/>
  <c r="H32" i="7"/>
  <c r="H33" i="7"/>
  <c r="D20" i="14"/>
  <c r="H34" i="7"/>
  <c r="D21" i="14"/>
  <c r="H35" i="7"/>
  <c r="D22" i="14"/>
  <c r="H36" i="7"/>
  <c r="D23" i="14"/>
  <c r="H37" i="7"/>
  <c r="D24" i="14"/>
  <c r="D25" i="14"/>
  <c r="D29" i="14"/>
  <c r="H43" i="7"/>
  <c r="D26" i="14"/>
  <c r="D30" i="14"/>
  <c r="H44" i="7"/>
  <c r="D27" i="14"/>
  <c r="D31" i="14"/>
  <c r="H45" i="7"/>
  <c r="D28" i="14"/>
  <c r="D32" i="14"/>
  <c r="H46" i="7"/>
  <c r="D35" i="14"/>
  <c r="D37" i="14"/>
  <c r="H51" i="7"/>
  <c r="D36" i="14"/>
  <c r="D38" i="14"/>
  <c r="H52" i="7"/>
  <c r="D39" i="14"/>
  <c r="H53" i="7"/>
  <c r="D40" i="14"/>
  <c r="H54" i="7"/>
  <c r="D33" i="14"/>
  <c r="D41" i="14"/>
  <c r="H55" i="7"/>
  <c r="D34" i="14"/>
  <c r="D44" i="14"/>
  <c r="D46" i="14"/>
  <c r="H60" i="7"/>
  <c r="D45" i="14"/>
  <c r="D47" i="14"/>
  <c r="H61" i="7"/>
  <c r="D49" i="14"/>
  <c r="H63" i="7"/>
  <c r="D48" i="14"/>
  <c r="D50" i="14"/>
  <c r="H64" i="7"/>
  <c r="D42" i="14"/>
  <c r="D43" i="14"/>
  <c r="D53" i="14"/>
  <c r="D55" i="14"/>
  <c r="H69" i="7"/>
  <c r="D54" i="14"/>
  <c r="D56" i="14"/>
  <c r="H70" i="7"/>
  <c r="D57" i="14"/>
  <c r="H71" i="7"/>
  <c r="D58" i="14"/>
  <c r="H72" i="7"/>
  <c r="D59" i="14"/>
  <c r="H73" i="7"/>
  <c r="D60" i="14"/>
  <c r="H74" i="7"/>
  <c r="D61" i="14"/>
  <c r="H75" i="7"/>
  <c r="D51" i="14"/>
  <c r="D62" i="14"/>
  <c r="D64" i="14"/>
  <c r="H78" i="7"/>
  <c r="D52" i="14"/>
  <c r="D63" i="14"/>
  <c r="D65" i="14"/>
  <c r="H79" i="7"/>
  <c r="D66" i="14"/>
  <c r="H80" i="7"/>
  <c r="D67" i="14"/>
  <c r="H81" i="7"/>
  <c r="D68" i="14"/>
  <c r="H82" i="7"/>
  <c r="D69" i="14"/>
  <c r="H83" i="7"/>
  <c r="D70" i="14"/>
  <c r="H84" i="7"/>
  <c r="D71" i="14"/>
  <c r="H85" i="7"/>
  <c r="D72" i="14"/>
  <c r="H86" i="7"/>
  <c r="D73" i="14"/>
  <c r="H87" i="7"/>
  <c r="D74" i="14"/>
  <c r="H88" i="7"/>
  <c r="D75" i="14"/>
  <c r="H89" i="7"/>
  <c r="D76" i="14"/>
  <c r="H90" i="7"/>
  <c r="D78" i="14"/>
  <c r="H92" i="7"/>
  <c r="D80" i="14"/>
  <c r="H94" i="7"/>
  <c r="D77" i="14"/>
  <c r="D79" i="14"/>
  <c r="D81" i="14"/>
  <c r="H95" i="7"/>
  <c r="D82" i="14"/>
  <c r="H96" i="7"/>
  <c r="D83" i="14"/>
  <c r="H97" i="7"/>
  <c r="D84" i="14"/>
  <c r="D86" i="14"/>
  <c r="H100" i="7"/>
  <c r="D85" i="14"/>
  <c r="H101" i="7"/>
  <c r="D88" i="14"/>
  <c r="H102" i="7"/>
  <c r="H103" i="7"/>
  <c r="D90" i="14"/>
  <c r="H104" i="7"/>
  <c r="H105" i="7"/>
  <c r="D92" i="14"/>
  <c r="H106" i="7"/>
  <c r="D93" i="14"/>
  <c r="D95" i="14"/>
  <c r="D97" i="14"/>
  <c r="H111" i="7"/>
  <c r="D94" i="14"/>
  <c r="D96" i="14"/>
  <c r="D98" i="14"/>
  <c r="H112" i="7"/>
  <c r="D99" i="14"/>
  <c r="H113" i="7"/>
  <c r="D100" i="14"/>
  <c r="H114" i="7"/>
  <c r="D101" i="14"/>
  <c r="H115" i="7"/>
  <c r="H116" i="7"/>
  <c r="G20" i="14"/>
  <c r="G21" i="14"/>
  <c r="G22" i="14"/>
  <c r="G23" i="14"/>
  <c r="G24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K5" i="7" a="1"/>
  <c r="K5" i="7"/>
  <c r="K10" i="7" a="1"/>
  <c r="K10" i="7"/>
  <c r="K4" i="7" a="1"/>
  <c r="K4" i="7"/>
  <c r="F2" i="5"/>
  <c r="F7" i="5"/>
  <c r="F11" i="5"/>
  <c r="K6" i="7" a="1"/>
  <c r="K6" i="7"/>
  <c r="K7" i="7" a="1"/>
  <c r="K7" i="7"/>
  <c r="K8" i="7" a="1"/>
  <c r="K8" i="7"/>
  <c r="K9" i="7" a="1"/>
  <c r="K9" i="7"/>
  <c r="K11" i="7" a="1"/>
  <c r="K11" i="7"/>
  <c r="K12" i="7" a="1"/>
  <c r="K12" i="7"/>
  <c r="K19" i="7" a="1"/>
  <c r="K19" i="7"/>
  <c r="K20" i="7" a="1"/>
  <c r="K20" i="7"/>
  <c r="K21" i="7" a="1"/>
  <c r="K21" i="7"/>
  <c r="K22" i="7" a="1"/>
  <c r="K22" i="7"/>
  <c r="K23" i="7" a="1"/>
  <c r="K23" i="7"/>
  <c r="K24" i="7" a="1"/>
  <c r="K24" i="7"/>
  <c r="K25" i="7" a="1"/>
  <c r="K25" i="7"/>
  <c r="K26" i="7" a="1"/>
  <c r="K26" i="7"/>
  <c r="K27" i="7" a="1"/>
  <c r="K27" i="7"/>
  <c r="K30" i="7" a="1"/>
  <c r="K30" i="7"/>
  <c r="K41" i="7" a="1"/>
  <c r="K41" i="7"/>
  <c r="K75" i="7" a="1"/>
  <c r="K75" i="7"/>
  <c r="K42" i="7" a="1"/>
  <c r="K42" i="7"/>
  <c r="K76" i="7" a="1"/>
  <c r="K76" i="7"/>
  <c r="K77" i="7" a="1"/>
  <c r="K77" i="7"/>
  <c r="K31" i="7" a="1"/>
  <c r="K31" i="7"/>
  <c r="K43" i="7" a="1"/>
  <c r="K43" i="7"/>
  <c r="K44" i="7" a="1"/>
  <c r="K44" i="7"/>
  <c r="K84" i="7" a="1"/>
  <c r="K84" i="7"/>
  <c r="F3" i="5"/>
  <c r="F4" i="5"/>
  <c r="F5" i="5"/>
  <c r="F6" i="5"/>
  <c r="F8" i="5"/>
  <c r="F9" i="5"/>
  <c r="F10" i="5"/>
  <c r="F12" i="5"/>
  <c r="F13" i="5"/>
  <c r="F14" i="5"/>
  <c r="F15" i="5"/>
  <c r="E99" i="14"/>
  <c r="E98" i="14"/>
  <c r="E97" i="14"/>
  <c r="E96" i="14"/>
  <c r="E95" i="14"/>
  <c r="E94" i="14"/>
  <c r="E93" i="14"/>
  <c r="E88" i="14"/>
  <c r="E87" i="14"/>
  <c r="E85" i="14"/>
  <c r="E83" i="14"/>
  <c r="E79" i="14"/>
  <c r="E78" i="14"/>
  <c r="E77" i="14"/>
  <c r="E76" i="14"/>
  <c r="E75" i="14"/>
  <c r="E74" i="14"/>
  <c r="E73" i="14"/>
  <c r="E69" i="14"/>
  <c r="E68" i="14"/>
  <c r="E67" i="14"/>
  <c r="E66" i="14"/>
  <c r="E65" i="14"/>
  <c r="E62" i="14"/>
  <c r="E61" i="14"/>
  <c r="E60" i="14"/>
  <c r="E59" i="14"/>
  <c r="E58" i="14"/>
  <c r="E57" i="14"/>
  <c r="E56" i="14"/>
  <c r="E51" i="14"/>
  <c r="E50" i="14"/>
  <c r="E49" i="14"/>
  <c r="E48" i="14"/>
  <c r="E47" i="14"/>
  <c r="E46" i="14"/>
  <c r="E42" i="14"/>
  <c r="E41" i="14"/>
  <c r="E39" i="14"/>
  <c r="E37" i="14"/>
  <c r="E34" i="14"/>
  <c r="E33" i="14"/>
  <c r="E32" i="14"/>
  <c r="E31" i="14"/>
  <c r="E30" i="14"/>
  <c r="E29" i="14"/>
  <c r="E27" i="14"/>
  <c r="E25" i="14"/>
  <c r="E24" i="14"/>
  <c r="E23" i="14"/>
  <c r="E22" i="14"/>
  <c r="E21" i="14"/>
  <c r="E20" i="14"/>
  <c r="E35" i="14"/>
  <c r="E36" i="14"/>
  <c r="E43" i="14"/>
  <c r="E44" i="14"/>
  <c r="E45" i="14"/>
  <c r="E52" i="14"/>
  <c r="E53" i="14"/>
  <c r="E54" i="14"/>
  <c r="E55" i="14"/>
  <c r="E63" i="14"/>
  <c r="E70" i="14"/>
  <c r="E71" i="14"/>
  <c r="E72" i="14"/>
  <c r="E80" i="14"/>
  <c r="E81" i="14"/>
  <c r="E82" i="14"/>
  <c r="E89" i="14"/>
  <c r="E90" i="14"/>
  <c r="E91" i="14"/>
  <c r="E92" i="14"/>
  <c r="E100" i="14"/>
  <c r="E101" i="14"/>
  <c r="E102" i="14"/>
  <c r="E18" i="14"/>
  <c r="E16" i="14"/>
  <c r="E14" i="14"/>
  <c r="E12" i="14"/>
  <c r="E10" i="14"/>
  <c r="E8" i="14"/>
  <c r="E6" i="14"/>
  <c r="E4" i="14"/>
  <c r="E2" i="14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3" i="1"/>
  <c r="D2" i="1"/>
  <c r="E86" i="14"/>
  <c r="H107" i="7"/>
  <c r="H108" i="7"/>
  <c r="H99" i="7"/>
  <c r="H98" i="7"/>
  <c r="H58" i="7"/>
  <c r="H59" i="7"/>
  <c r="H47" i="7"/>
  <c r="H48" i="7"/>
  <c r="H23" i="7"/>
  <c r="H19" i="7"/>
  <c r="H93" i="7"/>
  <c r="H77" i="7"/>
  <c r="H76" i="7"/>
  <c r="H67" i="7"/>
  <c r="H68" i="7"/>
  <c r="E38" i="14"/>
  <c r="H62" i="7"/>
  <c r="H57" i="7"/>
  <c r="H56" i="7"/>
  <c r="H41" i="7"/>
  <c r="H38" i="7"/>
  <c r="H42" i="7"/>
  <c r="H40" i="7"/>
  <c r="H39" i="7"/>
  <c r="H22" i="7"/>
  <c r="H3" i="7"/>
  <c r="H8" i="7"/>
  <c r="H9" i="7"/>
  <c r="H65" i="7"/>
  <c r="H66" i="7"/>
  <c r="H25" i="7"/>
  <c r="H21" i="7"/>
  <c r="H7" i="7"/>
  <c r="H12" i="7"/>
  <c r="H6" i="7"/>
  <c r="H109" i="7"/>
  <c r="H110" i="7"/>
  <c r="E64" i="14"/>
  <c r="H91" i="7"/>
  <c r="H49" i="7"/>
  <c r="H50" i="7"/>
  <c r="H24" i="7"/>
  <c r="H20" i="7"/>
  <c r="H11" i="7"/>
  <c r="H4" i="7"/>
  <c r="H5" i="7"/>
  <c r="H10" i="7"/>
  <c r="H2" i="7"/>
  <c r="E3" i="14"/>
  <c r="E7" i="14"/>
  <c r="E11" i="14"/>
  <c r="E15" i="14"/>
  <c r="E19" i="14"/>
  <c r="E26" i="14"/>
  <c r="E40" i="14"/>
  <c r="E84" i="14"/>
  <c r="E5" i="14"/>
  <c r="E9" i="14"/>
  <c r="E13" i="14"/>
  <c r="E17" i="14"/>
  <c r="E28" i="14"/>
</calcChain>
</file>

<file path=xl/sharedStrings.xml><?xml version="1.0" encoding="utf-8"?>
<sst xmlns="http://schemas.openxmlformats.org/spreadsheetml/2006/main" count="452" uniqueCount="276">
  <si>
    <t>rate|倍率</t>
    <phoneticPr fontId="1" type="noConversion"/>
  </si>
  <si>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</si>
  <si>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</si>
  <si>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</si>
  <si>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</si>
  <si>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</si>
  <si>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</si>
  <si>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</si>
  <si>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</si>
  <si>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</si>
  <si>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</si>
  <si>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</si>
  <si>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</si>
  <si>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</si>
  <si>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</si>
  <si>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</si>
  <si>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</si>
  <si>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</si>
  <si>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</si>
  <si>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</si>
  <si>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</si>
  <si>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</si>
  <si>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</si>
  <si>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</si>
  <si>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</si>
  <si>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</si>
  <si>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</si>
  <si>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</si>
  <si>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</si>
  <si>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</si>
  <si>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</si>
  <si>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</si>
  <si>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</si>
  <si>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</si>
  <si>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</si>
  <si>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</si>
  <si>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</si>
  <si>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</si>
  <si>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</si>
  <si>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</si>
  <si>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</si>
  <si>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</si>
  <si>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</si>
  <si>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</si>
  <si>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</si>
  <si>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</si>
  <si>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</si>
  <si>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</si>
  <si>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</si>
  <si>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</si>
  <si>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</si>
  <si>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</si>
  <si>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</si>
  <si>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</si>
  <si>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</si>
  <si>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fish_yutu_random_1</t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</si>
  <si>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</si>
  <si>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</si>
  <si>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</si>
  <si>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</si>
  <si>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</si>
  <si>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</si>
  <si>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</si>
  <si>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</si>
  <si>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</si>
  <si>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</si>
  <si>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</si>
  <si>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</si>
  <si>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</si>
  <si>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</si>
  <si>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</si>
  <si>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</si>
  <si>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</si>
  <si>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</si>
  <si>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</si>
  <si>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</si>
  <si>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</si>
  <si>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</si>
  <si>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</si>
  <si>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</si>
  <si>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</si>
  <si>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</si>
  <si>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</si>
  <si>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</si>
  <si>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</si>
  <si>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</si>
  <si>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</si>
  <si>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</si>
  <si>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</si>
  <si>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</si>
  <si>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</si>
  <si>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</si>
  <si>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</si>
  <si>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</si>
  <si>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</si>
  <si>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</si>
  <si>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</si>
  <si>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</si>
  <si>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</si>
  <si>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</si>
  <si>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</si>
  <si>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</si>
  <si>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</si>
  <si>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</si>
  <si>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</si>
  <si>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</si>
  <si>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</si>
  <si>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</si>
  <si>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</si>
  <si>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</si>
  <si>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</si>
  <si>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</si>
  <si>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</si>
  <si>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</si>
  <si>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</si>
  <si>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</si>
  <si>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</si>
  <si>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</si>
  <si>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</si>
  <si>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</si>
  <si>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</si>
  <si>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</si>
  <si>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</si>
  <si>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</si>
  <si>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</si>
  <si>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</si>
  <si>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</si>
  <si>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</si>
  <si>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</si>
  <si>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</si>
  <si>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</si>
  <si>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</si>
  <si>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</si>
  <si>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</si>
  <si>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</si>
  <si>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</si>
  <si>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</si>
  <si>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</si>
  <si>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</si>
  <si>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</si>
  <si>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</si>
  <si>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</si>
  <si>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</si>
  <si>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</si>
  <si>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</si>
  <si>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</si>
  <si>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</si>
  <si>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</si>
  <si>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</si>
  <si>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</si>
  <si>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</si>
  <si>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</si>
  <si>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</si>
  <si>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</si>
  <si>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</si>
  <si>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</si>
  <si>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</si>
  <si>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</si>
  <si>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</si>
  <si>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</si>
  <si>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</si>
  <si>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</si>
  <si>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</si>
  <si>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</si>
  <si>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</si>
  <si>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</si>
  <si>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</si>
  <si>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</si>
  <si>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</si>
  <si>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</si>
  <si>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</si>
  <si>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</si>
  <si>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rate|倍率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</si>
  <si>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</si>
  <si>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</si>
  <si>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</si>
  <si>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</si>
  <si>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</si>
  <si>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</si>
  <si>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</si>
  <si>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</si>
  <si>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</si>
  <si>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</si>
  <si>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</si>
  <si>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</si>
  <si>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</si>
  <si>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</si>
  <si>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12389活动不要随意修改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</si>
  <si>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</si>
  <si>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</si>
  <si>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</si>
  <si>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</si>
  <si>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</si>
  <si>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</si>
  <si>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</si>
  <si>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</si>
  <si>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</si>
  <si>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</si>
  <si>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</si>
  <si>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</si>
  <si>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</si>
  <si>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</si>
  <si>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</si>
  <si>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</si>
  <si>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</si>
  <si>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</si>
  <si>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</si>
  <si>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</si>
  <si>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</si>
  <si>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</si>
  <si>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</si>
  <si>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</si>
  <si>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</si>
  <si>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</si>
  <si>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</si>
  <si>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</si>
  <si>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</si>
  <si>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</si>
  <si>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</si>
  <si>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</si>
  <si>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</si>
  <si>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</si>
  <si>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</si>
  <si>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</si>
  <si>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</si>
  <si>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</si>
  <si>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63,2,</t>
    <phoneticPr fontId="1" type="noConversion"/>
  </si>
  <si>
    <t>no</t>
  </si>
  <si>
    <t>random_no</t>
  </si>
  <si>
    <t>guding_no</t>
  </si>
  <si>
    <t>over_time_min</t>
  </si>
  <si>
    <t>over_time_max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</si>
  <si>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</si>
  <si>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</si>
  <si>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</si>
  <si>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</si>
  <si>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</si>
  <si>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</si>
  <si>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</si>
  <si>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</si>
  <si>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create_gd_interval|最小创建间隔时间</t>
    <phoneticPr fontId="1" type="noConversion"/>
  </si>
  <si>
    <t>dead_mode|死亡模式</t>
    <phoneticPr fontId="1" type="noConversion"/>
  </si>
  <si>
    <t>award_id|奖励组合</t>
    <phoneticPr fontId="1" type="noConversion"/>
  </si>
  <si>
    <t>宝箱鱼</t>
    <phoneticPr fontId="1" type="noConversion"/>
  </si>
  <si>
    <t>id</t>
    <phoneticPr fontId="1" type="noConversion"/>
  </si>
  <si>
    <t>mode_name</t>
    <phoneticPr fontId="1" type="noConversion"/>
  </si>
  <si>
    <t>reduce_type</t>
    <phoneticPr fontId="1" type="noConversion"/>
  </si>
  <si>
    <t>reduce_value</t>
    <phoneticPr fontId="1" type="noConversion"/>
  </si>
  <si>
    <t>life_value</t>
    <phoneticPr fontId="1" type="noConversion"/>
  </si>
  <si>
    <t>rate</t>
    <phoneticPr fontId="1" type="noConversion"/>
  </si>
  <si>
    <t>life</t>
    <phoneticPr fontId="1" type="noConversion"/>
  </si>
  <si>
    <t>fix</t>
    <phoneticPr fontId="1" type="noConversion"/>
  </si>
  <si>
    <t>固定掉一滴血</t>
    <phoneticPr fontId="1" type="noConversion"/>
  </si>
  <si>
    <t>life</t>
    <phoneticPr fontId="1" type="noConversion"/>
  </si>
  <si>
    <t>money</t>
    <phoneticPr fontId="1" type="noConversion"/>
  </si>
  <si>
    <t>按子弹的1倍</t>
    <phoneticPr fontId="1" type="noConversion"/>
  </si>
  <si>
    <t>money</t>
    <phoneticPr fontId="1" type="noConversion"/>
  </si>
  <si>
    <t>按子弹的1倍</t>
    <phoneticPr fontId="1" type="noConversion"/>
  </si>
  <si>
    <t>life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</si>
  <si>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</si>
  <si>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</si>
  <si>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</si>
  <si>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</si>
  <si>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</si>
  <si>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</si>
  <si>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</si>
  <si>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</si>
  <si>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</si>
  <si>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0.1,527,0,0,0,0,2,473</t>
    <phoneticPr fontId="1" type="noConversion"/>
  </si>
  <si>
    <t>B模式</t>
    <phoneticPr fontId="1" type="noConversion"/>
  </si>
  <si>
    <t>B</t>
    <phoneticPr fontId="1" type="noConversion"/>
  </si>
  <si>
    <t>0.5,455,1,240,1.5,155,2,150</t>
    <phoneticPr fontId="1" type="noConversion"/>
  </si>
  <si>
    <t>奇数是倍数，偶数是权重，必须两两一组</t>
    <phoneticPr fontId="1" type="noConversion"/>
  </si>
  <si>
    <t>0.01,</t>
    <phoneticPr fontId="1" type="noConversion"/>
  </si>
  <si>
    <t>60,10,10</t>
    <phoneticPr fontId="1" type="noConversion"/>
  </si>
  <si>
    <t>黄金龙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</si>
</sst>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2" sqref="E2:E1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31</v>
      </c>
      <c r="B1" s="1" t="s">
        <v>32</v>
      </c>
      <c r="C1" s="1" t="s">
        <v>33</v>
      </c>
      <c r="D1" s="1" t="s">
        <v>34</v>
      </c>
      <c r="E1" s="1" t="s">
        <v>232</v>
      </c>
    </row>
    <row r="2" spans="1:5" x14ac:dyDescent="0.2">
      <c r="A2">
        <v>1</v>
      </c>
      <c r="B2" s="6">
        <v>5.0000000000000001E-3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5.0000000000000001E-3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5.0000000000000001E-3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5.0000000000000001E-3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5.0000000000000001E-3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5.0000000000000001E-3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5.0000000000000001E-3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5.0000000000000001E-3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5.0000000000000001E-3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5.0000000000000001E-3</v>
      </c>
      <c r="C11">
        <v>0.16</v>
      </c>
      <c r="D11" s="7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30" sqref="E30"/>
    </sheetView>
  </sheetViews>
  <sheetFormatPr defaultRowHeight="14.25" x14ac:dyDescent="0.2"/>
  <sheetData>
    <row r="1" spans="1:11" ht="54" x14ac:dyDescent="0.2">
      <c r="A1" s="1" t="s">
        <v>25</v>
      </c>
      <c r="B1" s="1" t="s">
        <v>35</v>
      </c>
      <c r="C1" s="1" t="s">
        <v>36</v>
      </c>
      <c r="D1" s="1" t="s">
        <v>37</v>
      </c>
      <c r="E1" s="1" t="s">
        <v>38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39" sqref="C3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233</v>
      </c>
      <c r="B1" s="2" t="s">
        <v>234</v>
      </c>
      <c r="C1" s="2" t="s">
        <v>235</v>
      </c>
      <c r="D1" s="2" t="s">
        <v>236</v>
      </c>
      <c r="E1" s="2" t="s">
        <v>237</v>
      </c>
      <c r="F1" s="2" t="s">
        <v>238</v>
      </c>
      <c r="G1" s="2" t="s">
        <v>239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G11" sqref="G11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227</v>
      </c>
      <c r="B1" s="1" t="s">
        <v>228</v>
      </c>
      <c r="C1" s="1" t="s">
        <v>229</v>
      </c>
      <c r="D1" s="1" t="s">
        <v>230</v>
      </c>
      <c r="E1" s="1" t="s">
        <v>231</v>
      </c>
      <c r="F1" s="1" t="s">
        <v>240</v>
      </c>
      <c r="G1" s="1"/>
      <c r="H1" s="1"/>
      <c r="I1" s="1"/>
      <c r="J1" s="1"/>
      <c r="K1" s="1"/>
      <c r="L1" s="1"/>
    </row>
    <row r="2" spans="1:12" x14ac:dyDescent="0.2">
      <c r="A2">
        <v>1</v>
      </c>
      <c r="B2" t="s">
        <v>55</v>
      </c>
      <c r="D2">
        <v>3000</v>
      </c>
      <c r="E2">
        <v>4800</v>
      </c>
    </row>
    <row r="3" spans="1:12" x14ac:dyDescent="0.2">
      <c r="A3">
        <v>2</v>
      </c>
      <c r="C3">
        <v>1</v>
      </c>
      <c r="D3">
        <v>560</v>
      </c>
      <c r="E3">
        <v>560</v>
      </c>
    </row>
    <row r="4" spans="1:12" x14ac:dyDescent="0.2">
      <c r="A4">
        <v>3</v>
      </c>
      <c r="C4">
        <v>2</v>
      </c>
      <c r="D4">
        <v>890</v>
      </c>
      <c r="E4">
        <v>890</v>
      </c>
    </row>
    <row r="5" spans="1:12" x14ac:dyDescent="0.2">
      <c r="A5">
        <v>4</v>
      </c>
      <c r="C5">
        <v>3</v>
      </c>
      <c r="D5">
        <v>530</v>
      </c>
      <c r="E5">
        <v>530</v>
      </c>
    </row>
    <row r="6" spans="1:12" x14ac:dyDescent="0.2">
      <c r="A6">
        <v>5</v>
      </c>
      <c r="C6">
        <v>4</v>
      </c>
      <c r="D6">
        <v>650</v>
      </c>
      <c r="E6">
        <v>650</v>
      </c>
    </row>
    <row r="7" spans="1:12" x14ac:dyDescent="0.2">
      <c r="A7">
        <v>6</v>
      </c>
      <c r="C7">
        <v>5</v>
      </c>
      <c r="D7">
        <v>1035</v>
      </c>
      <c r="E7">
        <v>1035</v>
      </c>
    </row>
    <row r="8" spans="1:12" x14ac:dyDescent="0.2">
      <c r="A8">
        <v>7</v>
      </c>
      <c r="C8">
        <v>6</v>
      </c>
      <c r="D8">
        <v>750</v>
      </c>
      <c r="E8">
        <v>750</v>
      </c>
    </row>
    <row r="9" spans="1:12" x14ac:dyDescent="0.2">
      <c r="A9">
        <v>8</v>
      </c>
      <c r="C9">
        <v>7</v>
      </c>
      <c r="D9">
        <v>600</v>
      </c>
      <c r="E9">
        <v>600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29"/>
  <sheetViews>
    <sheetView topLeftCell="B1" workbookViewId="0">
      <pane ySplit="1" topLeftCell="A98" activePane="bottomLeft" state="frozen"/>
      <selection pane="bottomLeft" activeCell="J110" sqref="J110"/>
    </sheetView>
  </sheetViews>
  <sheetFormatPr defaultColWidth="8.75" defaultRowHeight="14.25" outlineLevelCol="1" x14ac:dyDescent="0.2"/>
  <cols>
    <col min="2" max="2" width="17.125" customWidth="1"/>
    <col min="7" max="7" width="10.625" customWidth="1"/>
    <col min="8" max="10" width="12" customWidth="1"/>
    <col min="11" max="11" width="29.5" customWidth="1"/>
    <col min="17" max="23" width="8.75" customWidth="1" outlineLevel="1"/>
  </cols>
  <sheetData>
    <row r="1" spans="1:23" s="1" customFormat="1" ht="35.25" customHeight="1" x14ac:dyDescent="0.2">
      <c r="A1" s="1" t="s">
        <v>15</v>
      </c>
      <c r="B1" s="1" t="s">
        <v>52</v>
      </c>
      <c r="C1" s="1" t="s">
        <v>18</v>
      </c>
      <c r="D1" s="1" t="s">
        <v>19</v>
      </c>
      <c r="E1" s="1" t="s">
        <v>16</v>
      </c>
      <c r="F1" s="1" t="s">
        <v>17</v>
      </c>
      <c r="G1" s="1" t="s">
        <v>20</v>
      </c>
      <c r="H1" s="1" t="s">
        <v>172</v>
      </c>
      <c r="I1" s="1" t="s">
        <v>241</v>
      </c>
      <c r="J1" s="1" t="s">
        <v>242</v>
      </c>
      <c r="K1" s="1" t="s">
        <v>66</v>
      </c>
      <c r="Q1" s="1" t="s">
        <v>171</v>
      </c>
      <c r="R1" s="1" t="s">
        <v>171</v>
      </c>
      <c r="S1" s="1" t="s">
        <v>171</v>
      </c>
      <c r="T1" s="1" t="s">
        <v>171</v>
      </c>
      <c r="U1" s="1" t="s">
        <v>171</v>
      </c>
      <c r="V1" s="1" t="s">
        <v>171</v>
      </c>
      <c r="W1" s="1" t="s">
        <v>171</v>
      </c>
    </row>
    <row r="2" spans="1:23" x14ac:dyDescent="0.2">
      <c r="A2">
        <v>1</v>
      </c>
      <c r="B2">
        <v>1</v>
      </c>
      <c r="C2" t="s">
        <v>50</v>
      </c>
      <c r="D2" t="s">
        <v>178</v>
      </c>
      <c r="E2" t="s">
        <v>214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K2" t="s">
        <v>202</v>
      </c>
      <c r="Q2">
        <v>1</v>
      </c>
    </row>
    <row r="3" spans="1:23" x14ac:dyDescent="0.2">
      <c r="A3">
        <v>2</v>
      </c>
      <c r="B3">
        <v>1</v>
      </c>
      <c r="C3" t="s">
        <v>50</v>
      </c>
      <c r="D3" t="s">
        <v>179</v>
      </c>
      <c r="E3" t="s">
        <v>214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K3" t="s">
        <v>60</v>
      </c>
      <c r="Q3">
        <v>1</v>
      </c>
    </row>
    <row r="4" spans="1:23" x14ac:dyDescent="0.2">
      <c r="A4">
        <v>3</v>
      </c>
      <c r="B4">
        <v>1</v>
      </c>
      <c r="C4" t="s">
        <v>67</v>
      </c>
      <c r="D4" t="s">
        <v>180</v>
      </c>
      <c r="E4" t="s">
        <v>214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K4" t="str">
        <f t="array" ref="K4">INDEX(use_fish!A:A,SMALL(IF(group!$K$2&amp;IF(ISBLANK($K$3),$K$3,"+"&amp;$K$3)=use_fish!G:G,ROW(use_fish!G:G),4^8),ROW(1:1)))&amp;""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67</v>
      </c>
      <c r="D5" t="s">
        <v>193</v>
      </c>
      <c r="E5" t="s">
        <v>214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K5" t="str">
        <f t="array" ref="K5">INDEX(use_fish!A:A,SMALL(IF(group!$K$2&amp;IF(ISBLANK($K$3),$K$3,"+"&amp;$K$3)=use_fish!G:G,ROW(use_fish!G:G),4^8),ROW(2:2)))&amp;""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51</v>
      </c>
      <c r="E6" t="s">
        <v>214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K6" t="str">
        <f t="array" ref="K6">INDEX(use_fish!A:A,SMALL(IF(group!$K$2&amp;IF(ISBLANK($K$3),$K$3,"+"&amp;$K$3)=use_fish!G:G,ROW(use_fish!G:G),4^8),ROW(3:3)))&amp;""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68</v>
      </c>
      <c r="D7" t="s">
        <v>181</v>
      </c>
      <c r="E7" t="s">
        <v>214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K7" t="str">
        <f t="array" ref="K7">INDEX(use_fish!A:A,SMALL(IF(group!$K$2&amp;IF(ISBLANK($K$3),$K$3,"+"&amp;$K$3)=use_fish!G:G,ROW(use_fish!G:G),4^8),ROW(4:4)))&amp;""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50</v>
      </c>
      <c r="D8" t="s">
        <v>182</v>
      </c>
      <c r="E8" t="s">
        <v>214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K8" t="str">
        <f t="array" ref="K8">INDEX(use_fish!A:A,SMALL(IF(group!$K$2&amp;IF(ISBLANK($K$3),$K$3,"+"&amp;$K$3)=use_fish!G:G,ROW(use_fish!G:G),4^8),ROW(5:5)))&amp;""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50</v>
      </c>
      <c r="D9" t="s">
        <v>179</v>
      </c>
      <c r="E9" t="s">
        <v>214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K9" t="str">
        <f t="array" ref="K9">INDEX(use_fish!A:A,SMALL(IF(group!$K$2&amp;IF(ISBLANK($K$3),$K$3,"+"&amp;$K$3)=use_fish!G:G,ROW(use_fish!G:G),4^8),ROW(6:6)))&amp;""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67</v>
      </c>
      <c r="D10" t="s">
        <v>183</v>
      </c>
      <c r="E10" t="s">
        <v>214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K10" t="str">
        <f t="array" ref="K10">INDEX(use_fish!A:A,SMALL(IF(group!$K$2&amp;IF(ISBLANK($K$3),$K$3,"+"&amp;$K$3)=use_fish!G:G,ROW(use_fish!G:G),4^8),ROW(7:7)))&amp;""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67</v>
      </c>
      <c r="D11" t="s">
        <v>184</v>
      </c>
      <c r="E11" t="s">
        <v>214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K11" t="str">
        <f t="array" ref="K11">INDEX(use_fish!A:A,SMALL(IF(group!$K$2&amp;IF(ISBLANK($K$3),$K$3,"+"&amp;$K$3)=use_fish!G:G,ROW(use_fish!G:G),4^8),ROW(8:8)))&amp;""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51</v>
      </c>
      <c r="D12" t="s">
        <v>180</v>
      </c>
      <c r="E12" t="s">
        <v>214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K12" t="str">
        <f t="array" ref="K12">INDEX(use_fish!A:A,SMALL(IF(group!$K$2&amp;IF(ISBLANK($K$3),$K$3,"+"&amp;$K$3)=use_fish!G:G,ROW(use_fish!G:G),4^8),ROW(9:9)))&amp;""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69</v>
      </c>
      <c r="D13" t="s">
        <v>67</v>
      </c>
      <c r="E13" t="s">
        <v>214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Q13">
        <v>4</v>
      </c>
    </row>
    <row r="14" spans="1:23" x14ac:dyDescent="0.2">
      <c r="A14">
        <v>13</v>
      </c>
      <c r="B14">
        <v>2</v>
      </c>
      <c r="C14" t="s">
        <v>179</v>
      </c>
      <c r="D14" t="s">
        <v>67</v>
      </c>
      <c r="E14" t="s">
        <v>214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Q14">
        <v>5</v>
      </c>
    </row>
    <row r="15" spans="1:23" x14ac:dyDescent="0.2">
      <c r="A15">
        <v>14</v>
      </c>
      <c r="B15">
        <v>2</v>
      </c>
      <c r="C15" t="s">
        <v>53</v>
      </c>
      <c r="D15" t="s">
        <v>67</v>
      </c>
      <c r="E15" t="s">
        <v>214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Q15">
        <v>6</v>
      </c>
    </row>
    <row r="16" spans="1:23" x14ac:dyDescent="0.2">
      <c r="A16">
        <v>15</v>
      </c>
      <c r="B16">
        <v>2</v>
      </c>
      <c r="C16" t="s">
        <v>70</v>
      </c>
      <c r="D16" t="s">
        <v>67</v>
      </c>
      <c r="E16" t="s">
        <v>214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Q16">
        <v>7</v>
      </c>
    </row>
    <row r="17" spans="1:17" x14ac:dyDescent="0.2">
      <c r="A17">
        <v>16</v>
      </c>
      <c r="B17">
        <v>2</v>
      </c>
      <c r="C17" t="s">
        <v>71</v>
      </c>
      <c r="D17" t="s">
        <v>67</v>
      </c>
      <c r="E17" t="s">
        <v>214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Q17">
        <v>8</v>
      </c>
    </row>
    <row r="18" spans="1:17" x14ac:dyDescent="0.2">
      <c r="A18">
        <v>17</v>
      </c>
      <c r="B18">
        <v>2</v>
      </c>
      <c r="C18" t="s">
        <v>72</v>
      </c>
      <c r="D18" t="s">
        <v>67</v>
      </c>
      <c r="E18" t="s">
        <v>214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Q18">
        <v>9</v>
      </c>
    </row>
    <row r="19" spans="1:17" x14ac:dyDescent="0.2">
      <c r="A19">
        <v>18</v>
      </c>
      <c r="B19">
        <v>1</v>
      </c>
      <c r="C19" t="s">
        <v>69</v>
      </c>
      <c r="E19" t="s">
        <v>214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K19" t="str">
        <f t="array" ref="K19">INDEX(use_fish!A:A,SMALL(IF(group!$K$2&amp;IF(ISBLANK($K$3),$K$3,"+"&amp;$K$3)=use_fish!G:G,ROW(use_fish!G:G),4^8),ROW(10:10)))&amp;""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194</v>
      </c>
      <c r="E20" t="s">
        <v>214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K20" t="str">
        <f t="array" ref="K20">INDEX(use_fish!A:A,SMALL(IF(group!$K$2&amp;IF(ISBLANK($K$3),$K$3,"+"&amp;$K$3)=use_fish!G:G,ROW(use_fish!G:G),4^8),ROW(11:11)))&amp;""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53</v>
      </c>
      <c r="E21" t="s">
        <v>214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K21" t="str">
        <f t="array" ref="K21">INDEX(use_fish!A:A,SMALL(IF(group!$K$2&amp;IF(ISBLANK($K$3),$K$3,"+"&amp;$K$3)=use_fish!G:G,ROW(use_fish!G:G),4^8),ROW(12:12)))&amp;""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70</v>
      </c>
      <c r="E22" t="s">
        <v>214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K22" t="str">
        <f t="array" ref="K22">INDEX(use_fish!A:A,SMALL(IF(group!$K$2&amp;IF(ISBLANK($K$3),$K$3,"+"&amp;$K$3)=use_fish!G:G,ROW(use_fish!G:G),4^8),ROW(19:19)))&amp;""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71</v>
      </c>
      <c r="E23" t="s">
        <v>214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K23" t="str">
        <f t="array" ref="K23">INDEX(use_fish!A:A,SMALL(IF(group!$K$2&amp;IF(ISBLANK($K$3),$K$3,"+"&amp;$K$3)=use_fish!G:G,ROW(use_fish!G:G),4^8),ROW(20:20)))&amp;""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72</v>
      </c>
      <c r="E24" t="s">
        <v>214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K24" t="str">
        <f t="array" ref="K24">INDEX(use_fish!A:A,SMALL(IF(group!$K$2&amp;IF(ISBLANK($K$3),$K$3,"+"&amp;$K$3)=use_fish!G:G,ROW(use_fish!G:G),4^8),ROW(21:21)))&amp;""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73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K25" t="str">
        <f t="array" ref="K25">INDEX(use_fish!A:A,SMALL(IF(group!$K$2&amp;IF(ISBLANK($K$3),$K$3,"+"&amp;$K$3)=use_fish!G:G,ROW(use_fish!G:G),4^8),ROW(22:22)))&amp;""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74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K26" t="str">
        <f t="array" ref="K26">INDEX(use_fish!A:A,SMALL(IF(group!$K$2&amp;IF(ISBLANK($K$3),$K$3,"+"&amp;$K$3)=use_fish!G:G,ROW(use_fish!G:G),4^8),ROW(23:23)))&amp;""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75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K27" t="str">
        <f t="array" ref="K27">INDEX(use_fish!A:A,SMALL(IF(group!$K$2&amp;IF(ISBLANK($K$3),$K$3,"+"&amp;$K$3)=use_fish!G:G,ROW(use_fish!G:G),4^8),ROW(24:24)))&amp;""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207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Q28">
        <v>90</v>
      </c>
    </row>
    <row r="29" spans="1:17" x14ac:dyDescent="0.2">
      <c r="A29">
        <v>28</v>
      </c>
      <c r="B29">
        <v>1</v>
      </c>
      <c r="C29" t="s">
        <v>76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Q29">
        <v>14</v>
      </c>
    </row>
    <row r="30" spans="1:17" x14ac:dyDescent="0.2">
      <c r="A30">
        <v>29</v>
      </c>
      <c r="B30">
        <v>1</v>
      </c>
      <c r="C30" t="s">
        <v>77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K30" t="str">
        <f t="array" ref="K30">INDEX(use_fish!A:A,SMALL(IF(group!$K$2&amp;IF(ISBLANK($K$3),$K$3,"+"&amp;$K$3)=use_fish!G:G,ROW(use_fish!G:G),4^8),ROW(27:27)))&amp;""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78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K31" t="str">
        <f t="array" ref="K31">INDEX(use_fish!A:A,SMALL(IF(group!$K$2&amp;IF(ISBLANK($K$3),$K$3,"+"&amp;$K$3)=use_fish!G:G,ROW(use_fish!G:G),4^8),ROW(28:28)))&amp;""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79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Q32">
        <v>17</v>
      </c>
    </row>
    <row r="33" spans="1:17" x14ac:dyDescent="0.2">
      <c r="A33">
        <v>32</v>
      </c>
      <c r="B33">
        <v>1</v>
      </c>
      <c r="C33" t="s">
        <v>80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Q33">
        <v>18</v>
      </c>
    </row>
    <row r="34" spans="1:17" x14ac:dyDescent="0.2">
      <c r="A34">
        <v>33</v>
      </c>
      <c r="B34">
        <v>1</v>
      </c>
      <c r="C34" t="s">
        <v>81</v>
      </c>
      <c r="E34" t="s">
        <v>214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Q34">
        <v>19</v>
      </c>
    </row>
    <row r="35" spans="1:17" x14ac:dyDescent="0.2">
      <c r="A35">
        <v>34</v>
      </c>
      <c r="B35">
        <v>1</v>
      </c>
      <c r="C35" t="s">
        <v>82</v>
      </c>
      <c r="E35" t="s">
        <v>214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Q35">
        <v>20</v>
      </c>
    </row>
    <row r="36" spans="1:17" x14ac:dyDescent="0.2">
      <c r="A36">
        <v>35</v>
      </c>
      <c r="B36">
        <v>1</v>
      </c>
      <c r="C36" t="s">
        <v>83</v>
      </c>
      <c r="E36" t="s">
        <v>214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Q36">
        <v>21</v>
      </c>
    </row>
    <row r="37" spans="1:17" x14ac:dyDescent="0.2">
      <c r="A37">
        <v>36</v>
      </c>
      <c r="B37">
        <v>1</v>
      </c>
      <c r="C37" t="s">
        <v>84</v>
      </c>
      <c r="E37" t="s">
        <v>214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Q37">
        <v>22</v>
      </c>
    </row>
    <row r="38" spans="1:17" x14ac:dyDescent="0.2">
      <c r="A38">
        <v>37</v>
      </c>
      <c r="B38">
        <v>1</v>
      </c>
      <c r="C38" t="s">
        <v>85</v>
      </c>
      <c r="E38" t="s">
        <v>214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Q38">
        <v>23</v>
      </c>
    </row>
    <row r="39" spans="1:17" x14ac:dyDescent="0.2">
      <c r="A39">
        <v>38</v>
      </c>
      <c r="B39">
        <v>1</v>
      </c>
      <c r="C39" t="s">
        <v>86</v>
      </c>
      <c r="E39" t="s">
        <v>214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Q39">
        <v>24</v>
      </c>
    </row>
    <row r="40" spans="1:17" x14ac:dyDescent="0.2">
      <c r="A40">
        <v>39</v>
      </c>
      <c r="B40">
        <v>1</v>
      </c>
      <c r="C40" t="s">
        <v>87</v>
      </c>
      <c r="E40" t="s">
        <v>214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Q40">
        <v>25</v>
      </c>
    </row>
    <row r="41" spans="1:17" x14ac:dyDescent="0.2">
      <c r="A41">
        <v>40</v>
      </c>
      <c r="B41">
        <v>1</v>
      </c>
      <c r="C41" t="s">
        <v>88</v>
      </c>
      <c r="E41" t="s">
        <v>214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K41" t="str">
        <f t="array" ref="K41">INDEX(use_fish!A:A,SMALL(IF(group!$K$2&amp;IF(ISBLANK($K$3),$K$3,"+"&amp;$K$3)=use_fish!G:G,ROW(use_fish!G:G),4^8),ROW(38:38)))&amp;""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89</v>
      </c>
      <c r="E42" t="s">
        <v>214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K42" t="str">
        <f t="array" ref="K42">INDEX(use_fish!A:A,SMALL(IF(group!$K$2&amp;IF(ISBLANK($K$3),$K$3,"+"&amp;$K$3)=use_fish!G:G,ROW(use_fish!G:G),4^8),ROW(39:39)))&amp;""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90</v>
      </c>
      <c r="E43" t="s">
        <v>214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80</v>
      </c>
      <c r="K43" t="str">
        <f t="array" ref="K43">INDEX(use_fish!A:A,SMALL(IF(group!$K$2&amp;IF(ISBLANK($K$3),$K$3,"+"&amp;$K$3)=use_fish!G:G,ROW(use_fish!G:G),4^8),ROW(40:40)))&amp;""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91</v>
      </c>
      <c r="E44" t="s">
        <v>214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K44" t="str">
        <f t="array" ref="K44">INDEX(use_fish!A:A,SMALL(IF(group!$K$2&amp;IF(ISBLANK($K$3),$K$3,"+"&amp;$K$3)=use_fish!G:G,ROW(use_fish!G:G),4^8),ROW(41:41)))&amp;""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92</v>
      </c>
      <c r="E45" t="s">
        <v>214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Q45">
        <v>30</v>
      </c>
    </row>
    <row r="46" spans="1:17" x14ac:dyDescent="0.2">
      <c r="A46">
        <v>45</v>
      </c>
      <c r="B46">
        <v>1</v>
      </c>
      <c r="C46" t="s">
        <v>93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Q46">
        <v>31</v>
      </c>
    </row>
    <row r="47" spans="1:17" x14ac:dyDescent="0.2">
      <c r="A47">
        <v>46</v>
      </c>
      <c r="B47">
        <v>1</v>
      </c>
      <c r="C47" t="s">
        <v>94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Q47">
        <v>32</v>
      </c>
    </row>
    <row r="48" spans="1:17" x14ac:dyDescent="0.2">
      <c r="A48">
        <v>47</v>
      </c>
      <c r="B48">
        <v>1</v>
      </c>
      <c r="C48" t="s">
        <v>95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90</v>
      </c>
      <c r="Q48">
        <v>33</v>
      </c>
    </row>
    <row r="49" spans="1:17" x14ac:dyDescent="0.2">
      <c r="A49">
        <v>48</v>
      </c>
      <c r="B49">
        <v>1</v>
      </c>
      <c r="C49" t="s">
        <v>96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Q49">
        <v>34</v>
      </c>
    </row>
    <row r="50" spans="1:17" x14ac:dyDescent="0.2">
      <c r="A50">
        <v>49</v>
      </c>
      <c r="B50">
        <v>1</v>
      </c>
      <c r="C50" t="s">
        <v>97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Q50">
        <v>35</v>
      </c>
    </row>
    <row r="51" spans="1:17" x14ac:dyDescent="0.2">
      <c r="A51">
        <v>50</v>
      </c>
      <c r="B51">
        <v>1</v>
      </c>
      <c r="C51" t="s">
        <v>98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Q51">
        <v>36</v>
      </c>
    </row>
    <row r="52" spans="1:17" x14ac:dyDescent="0.2">
      <c r="A52">
        <v>51</v>
      </c>
      <c r="B52">
        <v>1</v>
      </c>
      <c r="C52" t="s">
        <v>99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Q52">
        <v>37</v>
      </c>
    </row>
    <row r="53" spans="1:17" x14ac:dyDescent="0.2">
      <c r="A53">
        <v>52</v>
      </c>
      <c r="B53">
        <v>1</v>
      </c>
      <c r="C53" t="s">
        <v>100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Q53">
        <v>38</v>
      </c>
    </row>
    <row r="54" spans="1:17" x14ac:dyDescent="0.2">
      <c r="A54">
        <v>53</v>
      </c>
      <c r="B54">
        <v>1</v>
      </c>
      <c r="C54" t="s">
        <v>101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Q54">
        <v>39</v>
      </c>
    </row>
    <row r="55" spans="1:17" x14ac:dyDescent="0.2">
      <c r="A55">
        <v>54</v>
      </c>
      <c r="B55">
        <v>1</v>
      </c>
      <c r="C55" t="s">
        <v>102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100</v>
      </c>
      <c r="Q55">
        <v>40</v>
      </c>
    </row>
    <row r="56" spans="1:17" x14ac:dyDescent="0.2">
      <c r="A56">
        <v>55</v>
      </c>
      <c r="B56">
        <v>1</v>
      </c>
      <c r="C56" t="s">
        <v>103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Q56">
        <v>41</v>
      </c>
    </row>
    <row r="57" spans="1:17" x14ac:dyDescent="0.2">
      <c r="A57">
        <v>56</v>
      </c>
      <c r="B57">
        <v>1</v>
      </c>
      <c r="C57" t="s">
        <v>104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Q57">
        <v>42</v>
      </c>
    </row>
    <row r="58" spans="1:17" x14ac:dyDescent="0.2">
      <c r="A58">
        <v>57</v>
      </c>
      <c r="B58">
        <v>1</v>
      </c>
      <c r="C58" t="s">
        <v>105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Q58">
        <v>43</v>
      </c>
    </row>
    <row r="59" spans="1:17" x14ac:dyDescent="0.2">
      <c r="A59">
        <v>58</v>
      </c>
      <c r="B59">
        <v>1</v>
      </c>
      <c r="C59" t="s">
        <v>106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Q59">
        <v>44</v>
      </c>
    </row>
    <row r="60" spans="1:17" x14ac:dyDescent="0.2">
      <c r="A60">
        <v>59</v>
      </c>
      <c r="B60">
        <v>1</v>
      </c>
      <c r="C60" t="s">
        <v>107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Q60">
        <v>45</v>
      </c>
    </row>
    <row r="61" spans="1:17" x14ac:dyDescent="0.2">
      <c r="A61">
        <v>60</v>
      </c>
      <c r="B61">
        <v>1</v>
      </c>
      <c r="C61" t="s">
        <v>108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Q61">
        <v>46</v>
      </c>
    </row>
    <row r="62" spans="1:17" x14ac:dyDescent="0.2">
      <c r="A62">
        <v>61</v>
      </c>
      <c r="B62">
        <v>1</v>
      </c>
      <c r="C62" t="s">
        <v>109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Q62">
        <v>47</v>
      </c>
    </row>
    <row r="63" spans="1:17" x14ac:dyDescent="0.2">
      <c r="A63">
        <v>62</v>
      </c>
      <c r="B63">
        <v>1</v>
      </c>
      <c r="C63" t="s">
        <v>110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Q63">
        <v>48</v>
      </c>
    </row>
    <row r="64" spans="1:17" x14ac:dyDescent="0.2">
      <c r="A64">
        <v>63</v>
      </c>
      <c r="B64">
        <v>1</v>
      </c>
      <c r="C64" t="s">
        <v>111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110</v>
      </c>
      <c r="Q64">
        <v>49</v>
      </c>
    </row>
    <row r="65" spans="1:17" x14ac:dyDescent="0.2">
      <c r="A65">
        <v>64</v>
      </c>
      <c r="B65">
        <v>1</v>
      </c>
      <c r="C65" t="s">
        <v>112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Q65">
        <v>50</v>
      </c>
    </row>
    <row r="66" spans="1:17" x14ac:dyDescent="0.2">
      <c r="A66">
        <v>65</v>
      </c>
      <c r="B66">
        <v>1</v>
      </c>
      <c r="C66" t="s">
        <v>113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Q66">
        <v>51</v>
      </c>
    </row>
    <row r="67" spans="1:17" x14ac:dyDescent="0.2">
      <c r="A67">
        <v>66</v>
      </c>
      <c r="B67">
        <v>1</v>
      </c>
      <c r="C67" t="s">
        <v>114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Q67">
        <v>52</v>
      </c>
    </row>
    <row r="68" spans="1:17" x14ac:dyDescent="0.2">
      <c r="A68">
        <v>67</v>
      </c>
      <c r="B68">
        <v>1</v>
      </c>
      <c r="C68" t="s">
        <v>115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Q68">
        <v>53</v>
      </c>
    </row>
    <row r="69" spans="1:17" x14ac:dyDescent="0.2">
      <c r="A69">
        <v>68</v>
      </c>
      <c r="B69">
        <v>1</v>
      </c>
      <c r="C69" t="s">
        <v>116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Q69">
        <v>54</v>
      </c>
    </row>
    <row r="70" spans="1:17" x14ac:dyDescent="0.2">
      <c r="A70">
        <v>69</v>
      </c>
      <c r="B70">
        <v>1</v>
      </c>
      <c r="C70" t="s">
        <v>117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Q70">
        <v>55</v>
      </c>
    </row>
    <row r="71" spans="1:17" x14ac:dyDescent="0.2">
      <c r="A71">
        <v>70</v>
      </c>
      <c r="B71">
        <v>1</v>
      </c>
      <c r="C71" t="s">
        <v>118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Q71">
        <v>56</v>
      </c>
    </row>
    <row r="72" spans="1:17" x14ac:dyDescent="0.2">
      <c r="A72">
        <v>71</v>
      </c>
      <c r="B72">
        <v>1</v>
      </c>
      <c r="C72" t="s">
        <v>119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Q72">
        <v>57</v>
      </c>
    </row>
    <row r="73" spans="1:17" x14ac:dyDescent="0.2">
      <c r="A73">
        <v>72</v>
      </c>
      <c r="B73">
        <v>1</v>
      </c>
      <c r="C73" t="s">
        <v>120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Q73">
        <v>58</v>
      </c>
    </row>
    <row r="74" spans="1:17" x14ac:dyDescent="0.2">
      <c r="A74">
        <v>73</v>
      </c>
      <c r="B74">
        <v>1</v>
      </c>
      <c r="C74" t="s">
        <v>121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120</v>
      </c>
      <c r="Q74">
        <v>59</v>
      </c>
    </row>
    <row r="75" spans="1:17" x14ac:dyDescent="0.2">
      <c r="A75">
        <v>74</v>
      </c>
      <c r="B75">
        <v>1</v>
      </c>
      <c r="C75" t="s">
        <v>122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K75" t="str">
        <f t="array" ref="K75">INDEX(use_fish!A:A,SMALL(IF(group!$K$2&amp;IF(ISBLANK($K$3),$K$3,"+"&amp;$K$3)=use_fish!G:G,ROW(use_fish!G:G),4^8),ROW(72:72)))&amp;""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123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K76" t="str">
        <f t="array" ref="K76">INDEX(use_fish!A:A,SMALL(IF(group!$K$2&amp;IF(ISBLANK($K$3),$K$3,"+"&amp;$K$3)=use_fish!G:G,ROW(use_fish!G:G),4^8),ROW(73:73)))&amp;""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124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K77" t="str">
        <f t="array" ref="K77">INDEX(use_fish!A:A,SMALL(IF(group!$K$2&amp;IF(ISBLANK($K$3),$K$3,"+"&amp;$K$3)=use_fish!G:G,ROW(use_fish!G:G),4^8),ROW(74:74)))&amp;""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125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Q78">
        <v>63</v>
      </c>
    </row>
    <row r="79" spans="1:17" x14ac:dyDescent="0.2">
      <c r="A79">
        <v>78</v>
      </c>
      <c r="B79">
        <v>1</v>
      </c>
      <c r="C79" t="s">
        <v>126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Q79">
        <v>64</v>
      </c>
    </row>
    <row r="80" spans="1:17" x14ac:dyDescent="0.2">
      <c r="A80">
        <v>79</v>
      </c>
      <c r="B80">
        <v>1</v>
      </c>
      <c r="C80" t="s">
        <v>127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Q80">
        <v>65</v>
      </c>
    </row>
    <row r="81" spans="1:17" x14ac:dyDescent="0.2">
      <c r="A81">
        <v>80</v>
      </c>
      <c r="B81">
        <v>1</v>
      </c>
      <c r="C81" t="s">
        <v>128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Q81">
        <v>66</v>
      </c>
    </row>
    <row r="82" spans="1:17" x14ac:dyDescent="0.2">
      <c r="A82">
        <v>81</v>
      </c>
      <c r="B82">
        <v>1</v>
      </c>
      <c r="C82" t="s">
        <v>129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Q82">
        <v>67</v>
      </c>
    </row>
    <row r="83" spans="1:17" x14ac:dyDescent="0.2">
      <c r="A83">
        <v>82</v>
      </c>
      <c r="B83">
        <v>1</v>
      </c>
      <c r="C83" t="s">
        <v>130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150</v>
      </c>
      <c r="Q83">
        <v>68</v>
      </c>
    </row>
    <row r="84" spans="1:17" x14ac:dyDescent="0.2">
      <c r="A84">
        <v>83</v>
      </c>
      <c r="B84">
        <v>1</v>
      </c>
      <c r="C84" t="s">
        <v>131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K84" t="str">
        <f t="array" ref="K84">INDEX(use_fish!A:A,SMALL(IF(group!$K$2&amp;IF(ISBLANK($K$3),$K$3,"+"&amp;$K$3)=use_fish!G:G,ROW(use_fish!G:G),4^8),ROW(81:81)))&amp;""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132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Q85">
        <v>70</v>
      </c>
    </row>
    <row r="86" spans="1:17" x14ac:dyDescent="0.2">
      <c r="A86">
        <v>85</v>
      </c>
      <c r="B86">
        <v>1</v>
      </c>
      <c r="C86" t="s">
        <v>133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Q86">
        <v>71</v>
      </c>
    </row>
    <row r="87" spans="1:17" x14ac:dyDescent="0.2">
      <c r="A87">
        <v>86</v>
      </c>
      <c r="B87">
        <v>1</v>
      </c>
      <c r="C87" t="s">
        <v>134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Q87">
        <v>72</v>
      </c>
    </row>
    <row r="88" spans="1:17" x14ac:dyDescent="0.2">
      <c r="A88">
        <v>87</v>
      </c>
      <c r="B88">
        <v>1</v>
      </c>
      <c r="C88" t="s">
        <v>135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Q88">
        <v>73</v>
      </c>
    </row>
    <row r="89" spans="1:17" x14ac:dyDescent="0.2">
      <c r="A89">
        <v>88</v>
      </c>
      <c r="B89">
        <v>1</v>
      </c>
      <c r="C89" t="s">
        <v>136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Q89">
        <v>74</v>
      </c>
    </row>
    <row r="90" spans="1:17" x14ac:dyDescent="0.2">
      <c r="A90">
        <v>89</v>
      </c>
      <c r="B90">
        <v>1</v>
      </c>
      <c r="C90" t="s">
        <v>137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Q90">
        <v>75</v>
      </c>
    </row>
    <row r="91" spans="1:17" x14ac:dyDescent="0.2">
      <c r="A91">
        <v>90</v>
      </c>
      <c r="B91">
        <v>1</v>
      </c>
      <c r="C91" t="s">
        <v>138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130</v>
      </c>
      <c r="Q91">
        <v>76</v>
      </c>
    </row>
    <row r="92" spans="1:17" x14ac:dyDescent="0.2">
      <c r="A92">
        <v>91</v>
      </c>
      <c r="B92">
        <v>1</v>
      </c>
      <c r="C92" t="s">
        <v>139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Q92">
        <v>77</v>
      </c>
    </row>
    <row r="93" spans="1:17" x14ac:dyDescent="0.2">
      <c r="A93">
        <v>92</v>
      </c>
      <c r="B93">
        <v>1</v>
      </c>
      <c r="C93" t="s">
        <v>140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Q93">
        <v>78</v>
      </c>
    </row>
    <row r="94" spans="1:17" x14ac:dyDescent="0.2">
      <c r="A94">
        <v>93</v>
      </c>
      <c r="B94">
        <v>1</v>
      </c>
      <c r="C94" t="s">
        <v>141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Q94">
        <v>79</v>
      </c>
    </row>
    <row r="95" spans="1:17" x14ac:dyDescent="0.2">
      <c r="A95">
        <v>94</v>
      </c>
      <c r="B95">
        <v>1</v>
      </c>
      <c r="C95" t="s">
        <v>142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Q95">
        <v>80</v>
      </c>
    </row>
    <row r="96" spans="1:17" x14ac:dyDescent="0.2">
      <c r="A96">
        <v>95</v>
      </c>
      <c r="B96">
        <v>1</v>
      </c>
      <c r="C96" t="s">
        <v>143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Q96">
        <v>81</v>
      </c>
    </row>
    <row r="97" spans="1:17" x14ac:dyDescent="0.2">
      <c r="A97">
        <v>96</v>
      </c>
      <c r="B97">
        <v>1</v>
      </c>
      <c r="C97" t="s">
        <v>144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Q97">
        <v>82</v>
      </c>
    </row>
    <row r="98" spans="1:17" x14ac:dyDescent="0.2">
      <c r="A98">
        <v>97</v>
      </c>
      <c r="B98">
        <v>1</v>
      </c>
      <c r="C98" t="s">
        <v>145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Q98">
        <v>83</v>
      </c>
    </row>
    <row r="99" spans="1:17" x14ac:dyDescent="0.2">
      <c r="A99">
        <v>98</v>
      </c>
      <c r="B99">
        <v>1</v>
      </c>
      <c r="C99" t="s">
        <v>146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Q99">
        <v>84</v>
      </c>
    </row>
    <row r="100" spans="1:17" x14ac:dyDescent="0.2">
      <c r="A100">
        <v>99</v>
      </c>
      <c r="B100">
        <v>1</v>
      </c>
      <c r="C100" t="s">
        <v>147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Q100">
        <v>85</v>
      </c>
    </row>
    <row r="101" spans="1:17" x14ac:dyDescent="0.2">
      <c r="A101">
        <v>100</v>
      </c>
      <c r="B101">
        <v>1</v>
      </c>
      <c r="C101" t="s">
        <v>148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150</v>
      </c>
      <c r="Q101">
        <v>86</v>
      </c>
    </row>
    <row r="102" spans="1:17" x14ac:dyDescent="0.2">
      <c r="A102">
        <v>101</v>
      </c>
      <c r="B102">
        <v>1</v>
      </c>
      <c r="C102" t="s">
        <v>149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Q102">
        <v>87</v>
      </c>
    </row>
    <row r="103" spans="1:17" x14ac:dyDescent="0.2">
      <c r="A103">
        <v>102</v>
      </c>
      <c r="B103">
        <v>1</v>
      </c>
      <c r="C103" t="s">
        <v>150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Q103">
        <v>88</v>
      </c>
    </row>
    <row r="104" spans="1:17" x14ac:dyDescent="0.2">
      <c r="A104">
        <v>103</v>
      </c>
      <c r="B104">
        <v>1</v>
      </c>
      <c r="C104" t="s">
        <v>151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Q104">
        <v>89</v>
      </c>
    </row>
    <row r="105" spans="1:17" x14ac:dyDescent="0.2">
      <c r="A105">
        <v>104</v>
      </c>
      <c r="B105">
        <v>1</v>
      </c>
      <c r="C105" t="s">
        <v>152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Q105">
        <v>90</v>
      </c>
    </row>
    <row r="106" spans="1:17" x14ac:dyDescent="0.2">
      <c r="A106">
        <v>105</v>
      </c>
      <c r="B106">
        <v>1</v>
      </c>
      <c r="C106" t="s">
        <v>153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Q106">
        <v>91</v>
      </c>
    </row>
    <row r="107" spans="1:17" x14ac:dyDescent="0.2">
      <c r="A107">
        <v>106</v>
      </c>
      <c r="B107">
        <v>1</v>
      </c>
      <c r="C107" t="s">
        <v>154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Q107">
        <v>92</v>
      </c>
    </row>
    <row r="108" spans="1:17" x14ac:dyDescent="0.2">
      <c r="A108">
        <v>107</v>
      </c>
      <c r="B108">
        <v>1</v>
      </c>
      <c r="C108" t="s">
        <v>155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Q108">
        <v>93</v>
      </c>
    </row>
    <row r="109" spans="1:17" x14ac:dyDescent="0.2">
      <c r="A109">
        <v>108</v>
      </c>
      <c r="B109">
        <v>1</v>
      </c>
      <c r="C109" t="s">
        <v>156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Q109">
        <v>94</v>
      </c>
    </row>
    <row r="110" spans="1:17" x14ac:dyDescent="0.2">
      <c r="A110">
        <v>109</v>
      </c>
      <c r="B110">
        <v>1</v>
      </c>
      <c r="C110" t="s">
        <v>157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Q110">
        <v>95</v>
      </c>
    </row>
    <row r="111" spans="1:17" x14ac:dyDescent="0.2">
      <c r="A111">
        <v>110</v>
      </c>
      <c r="B111">
        <v>1</v>
      </c>
      <c r="C111" t="s">
        <v>158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Q111">
        <v>96</v>
      </c>
    </row>
    <row r="112" spans="1:17" x14ac:dyDescent="0.2">
      <c r="A112">
        <v>111</v>
      </c>
      <c r="B112">
        <v>1</v>
      </c>
      <c r="C112" t="s">
        <v>159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Q112">
        <v>97</v>
      </c>
    </row>
    <row r="113" spans="1:20" x14ac:dyDescent="0.2">
      <c r="A113">
        <v>112</v>
      </c>
      <c r="B113">
        <v>1</v>
      </c>
      <c r="C113" t="s">
        <v>160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Q113">
        <v>98</v>
      </c>
    </row>
    <row r="114" spans="1:20" x14ac:dyDescent="0.2">
      <c r="A114">
        <v>113</v>
      </c>
      <c r="B114">
        <v>1</v>
      </c>
      <c r="C114" t="s">
        <v>161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Q114">
        <v>99</v>
      </c>
    </row>
    <row r="115" spans="1:20" x14ac:dyDescent="0.2">
      <c r="A115">
        <v>114</v>
      </c>
      <c r="B115">
        <v>1</v>
      </c>
      <c r="C115" t="s">
        <v>162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Q115">
        <v>100</v>
      </c>
    </row>
    <row r="116" spans="1:20" x14ac:dyDescent="0.2">
      <c r="A116">
        <v>115</v>
      </c>
      <c r="B116">
        <v>1</v>
      </c>
      <c r="C116" t="s">
        <v>163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Q116">
        <v>101</v>
      </c>
    </row>
    <row r="117" spans="1:20" x14ac:dyDescent="0.2">
      <c r="A117">
        <v>116</v>
      </c>
      <c r="B117">
        <v>3</v>
      </c>
      <c r="C117" t="s">
        <v>208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209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210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211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212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213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164</v>
      </c>
      <c r="G123" t="s">
        <v>165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219</v>
      </c>
      <c r="G124" t="s">
        <v>166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220</v>
      </c>
      <c r="G125" t="s">
        <v>167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221</v>
      </c>
      <c r="G126" t="s">
        <v>168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222</v>
      </c>
      <c r="G127" t="s">
        <v>167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223</v>
      </c>
      <c r="G128" t="s">
        <v>169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224</v>
      </c>
      <c r="G129" t="s">
        <v>170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Q129">
        <v>4</v>
      </c>
      <c r="R129">
        <v>5</v>
      </c>
      <c r="S129">
        <v>10</v>
      </c>
      <c r="T129">
        <v>8</v>
      </c>
    </row>
  </sheetData>
  <autoFilter ref="H1:H129"/>
  <dataConsolidate/>
  <phoneticPr fontId="1" type="noConversion"/>
  <conditionalFormatting sqref="H2:J12 H19:J1048576 H1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J18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:J1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K2</xm:sqref>
        </x14:dataValidation>
        <x14:dataValidation type="list" showInputMessage="1" showErrorMessage="1">
          <x14:formula1>
            <xm:f>activity!$H$2:$H$10</xm:f>
          </x14:formula1>
          <xm:sqref>K3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03"/>
  <sheetViews>
    <sheetView tabSelected="1" workbookViewId="0">
      <pane ySplit="1" topLeftCell="A92" activePane="bottomLeft" state="frozen"/>
      <selection pane="bottomLeft" activeCell="E111" sqref="E111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</cols>
  <sheetData>
    <row r="1" spans="1:7" ht="27" x14ac:dyDescent="0.2">
      <c r="A1" s="1" t="s">
        <v>27</v>
      </c>
      <c r="B1" s="1" t="s">
        <v>28</v>
      </c>
      <c r="C1" s="1" t="s">
        <v>22</v>
      </c>
      <c r="D1" s="1" t="s">
        <v>0</v>
      </c>
      <c r="E1" s="1" t="s">
        <v>1</v>
      </c>
      <c r="F1" s="1" t="s">
        <v>30</v>
      </c>
      <c r="G1" s="1" t="s">
        <v>24</v>
      </c>
    </row>
    <row r="2" spans="1:7" x14ac:dyDescent="0.2">
      <c r="A2" s="3">
        <v>1</v>
      </c>
      <c r="B2" s="3">
        <v>1</v>
      </c>
      <c r="C2" s="3"/>
      <c r="D2" s="2">
        <f>LOOKUP(use_fish!B2,base_fish!A:A,base_fish!C:C)+_xlfn.IFNA(INDEX(activity!E:E,MATCH(use_fish!C2,activity!A:A,0)),0)</f>
        <v>1</v>
      </c>
      <c r="E2" s="2">
        <f>1/D2</f>
        <v>1</v>
      </c>
      <c r="F2" s="2" t="s">
        <v>29</v>
      </c>
      <c r="G2" s="5" t="str">
        <f>INDEX(base_fish!E:E,MATCH(use_fish!B2,base_fish!A:A,0))&amp;_xlfn.IFNA("+"&amp;INDEX(activity!F:F,MATCH(use_fish!C2,activity!A:A,0)),"")</f>
        <v>小黄鱼</v>
      </c>
    </row>
    <row r="3" spans="1:7" x14ac:dyDescent="0.2">
      <c r="A3" s="3">
        <v>2</v>
      </c>
      <c r="B3" s="3">
        <v>2</v>
      </c>
      <c r="C3" s="3"/>
      <c r="D3" s="2">
        <f>LOOKUP(use_fish!B3,base_fish!A:A,base_fish!C:C)+_xlfn.IFNA(INDEX(activity!E:E,MATCH(use_fish!C3,activity!A:A,0)),0)</f>
        <v>2</v>
      </c>
      <c r="E3" s="2">
        <f>1/D3</f>
        <v>0.5</v>
      </c>
      <c r="F3" s="2" t="s">
        <v>29</v>
      </c>
      <c r="G3" s="5" t="str">
        <f>INDEX(base_fish!E:E,MATCH(use_fish!B3,base_fish!A:A,0))&amp;_xlfn.IFNA("+"&amp;INDEX(activity!F:F,MATCH(use_fish!C3,activity!A:A,0)),"")</f>
        <v>小蓝鱼</v>
      </c>
    </row>
    <row r="4" spans="1:7" x14ac:dyDescent="0.2">
      <c r="A4" s="3">
        <v>3</v>
      </c>
      <c r="B4" s="3">
        <v>3</v>
      </c>
      <c r="C4" s="3"/>
      <c r="D4" s="2">
        <f>LOOKUP(use_fish!B4,base_fish!A:A,base_fish!C:C)+_xlfn.IFNA(INDEX(activity!E:E,MATCH(use_fish!C4,activity!A:A,0)),0)</f>
        <v>5</v>
      </c>
      <c r="E4" s="2">
        <f t="shared" ref="E4:E19" si="0">1/D4</f>
        <v>0.2</v>
      </c>
      <c r="F4" s="2" t="s">
        <v>29</v>
      </c>
      <c r="G4" s="5" t="str">
        <f>INDEX(base_fish!E:E,MATCH(use_fish!B4,base_fish!A:A,0))&amp;_xlfn.IFNA("+"&amp;INDEX(activity!F:F,MATCH(use_fish!C4,activity!A:A,0)),"")</f>
        <v>彩纹鱼</v>
      </c>
    </row>
    <row r="5" spans="1:7" x14ac:dyDescent="0.2">
      <c r="A5" s="3">
        <v>4</v>
      </c>
      <c r="B5" s="3">
        <v>4</v>
      </c>
      <c r="C5" s="3"/>
      <c r="D5" s="2">
        <f>LOOKUP(use_fish!B5,base_fish!A:A,base_fish!C:C)+_xlfn.IFNA(INDEX(activity!E:E,MATCH(use_fish!C5,activity!A:A,0)),0)</f>
        <v>8</v>
      </c>
      <c r="E5" s="2">
        <f t="shared" si="0"/>
        <v>0.125</v>
      </c>
      <c r="F5" s="2" t="s">
        <v>29</v>
      </c>
      <c r="G5" s="5" t="str">
        <f>INDEX(base_fish!E:E,MATCH(use_fish!B5,base_fish!A:A,0))&amp;_xlfn.IFNA("+"&amp;INDEX(activity!F:F,MATCH(use_fish!C5,activity!A:A,0)),"")</f>
        <v>蓝河豚</v>
      </c>
    </row>
    <row r="6" spans="1:7" x14ac:dyDescent="0.2">
      <c r="A6" s="3">
        <v>5</v>
      </c>
      <c r="B6" s="3">
        <v>5</v>
      </c>
      <c r="C6" s="3"/>
      <c r="D6" s="2">
        <f>LOOKUP(use_fish!B6,base_fish!A:A,base_fish!C:C)+_xlfn.IFNA(INDEX(activity!E:E,MATCH(use_fish!C6,activity!A:A,0)),0)</f>
        <v>15</v>
      </c>
      <c r="E6" s="2">
        <f t="shared" si="0"/>
        <v>6.6666666666666666E-2</v>
      </c>
      <c r="F6" s="2" t="s">
        <v>29</v>
      </c>
      <c r="G6" s="5" t="str">
        <f>INDEX(base_fish!E:E,MATCH(use_fish!B6,base_fish!A:A,0))&amp;_xlfn.IFNA("+"&amp;INDEX(activity!F:F,MATCH(use_fish!C6,activity!A:A,0)),"")</f>
        <v>小丑鱼</v>
      </c>
    </row>
    <row r="7" spans="1:7" x14ac:dyDescent="0.2">
      <c r="A7" s="3">
        <v>6</v>
      </c>
      <c r="B7" s="3">
        <v>6</v>
      </c>
      <c r="C7" s="3"/>
      <c r="D7" s="2">
        <f>LOOKUP(use_fish!B7,base_fish!A:A,base_fish!C:C)+_xlfn.IFNA(INDEX(activity!E:E,MATCH(use_fish!C7,activity!A:A,0)),0)</f>
        <v>20</v>
      </c>
      <c r="E7" s="2">
        <f t="shared" si="0"/>
        <v>0.05</v>
      </c>
      <c r="F7" s="2" t="s">
        <v>29</v>
      </c>
      <c r="G7" s="5" t="str">
        <f>INDEX(base_fish!E:E,MATCH(use_fish!B7,base_fish!A:A,0))&amp;_xlfn.IFNA("+"&amp;INDEX(activity!F:F,MATCH(use_fish!C7,activity!A:A,0)),"")</f>
        <v>蓝灯鱼</v>
      </c>
    </row>
    <row r="8" spans="1:7" x14ac:dyDescent="0.2">
      <c r="A8" s="3">
        <v>7</v>
      </c>
      <c r="B8" s="3">
        <v>7</v>
      </c>
      <c r="C8" s="3"/>
      <c r="D8" s="2">
        <f>LOOKUP(use_fish!B8,base_fish!A:A,base_fish!C:C)+_xlfn.IFNA(INDEX(activity!E:E,MATCH(use_fish!C8,activity!A:A,0)),0)</f>
        <v>30</v>
      </c>
      <c r="E8" s="2">
        <f t="shared" si="0"/>
        <v>3.3333333333333333E-2</v>
      </c>
      <c r="F8" s="2" t="s">
        <v>29</v>
      </c>
      <c r="G8" s="5" t="str">
        <f>INDEX(base_fish!E:E,MATCH(use_fish!B8,base_fish!A:A,0))&amp;_xlfn.IFNA("+"&amp;INDEX(activity!F:F,MATCH(use_fish!C8,activity!A:A,0)),"")</f>
        <v>红杉鱼</v>
      </c>
    </row>
    <row r="9" spans="1:7" x14ac:dyDescent="0.2">
      <c r="A9" s="3">
        <v>8</v>
      </c>
      <c r="B9" s="3">
        <v>8</v>
      </c>
      <c r="C9" s="3"/>
      <c r="D9" s="2">
        <f>LOOKUP(use_fish!B9,base_fish!A:A,base_fish!C:C)+_xlfn.IFNA(INDEX(activity!E:E,MATCH(use_fish!C9,activity!A:A,0)),0)</f>
        <v>40</v>
      </c>
      <c r="E9" s="2">
        <f t="shared" si="0"/>
        <v>2.5000000000000001E-2</v>
      </c>
      <c r="F9" s="2" t="s">
        <v>29</v>
      </c>
      <c r="G9" s="5" t="str">
        <f>INDEX(base_fish!E:E,MATCH(use_fish!B9,base_fish!A:A,0))&amp;_xlfn.IFNA("+"&amp;INDEX(activity!F:F,MATCH(use_fish!C9,activity!A:A,0)),"")</f>
        <v>海龟</v>
      </c>
    </row>
    <row r="10" spans="1:7" x14ac:dyDescent="0.2">
      <c r="A10" s="3">
        <v>9</v>
      </c>
      <c r="B10" s="3">
        <v>9</v>
      </c>
      <c r="C10" s="3"/>
      <c r="D10" s="2">
        <f>LOOKUP(use_fish!B10,base_fish!A:A,base_fish!C:C)+_xlfn.IFNA(INDEX(activity!E:E,MATCH(use_fish!C10,activity!A:A,0)),0)</f>
        <v>50</v>
      </c>
      <c r="E10" s="2">
        <f t="shared" si="0"/>
        <v>0.02</v>
      </c>
      <c r="F10" s="2" t="s">
        <v>29</v>
      </c>
      <c r="G10" s="5" t="str">
        <f>INDEX(base_fish!E:E,MATCH(use_fish!B10,base_fish!A:A,0))&amp;_xlfn.IFNA("+"&amp;INDEX(activity!F:F,MATCH(use_fish!C10,activity!A:A,0)),"")</f>
        <v>灯笼鱼</v>
      </c>
    </row>
    <row r="11" spans="1:7" x14ac:dyDescent="0.2">
      <c r="A11" s="3">
        <v>10</v>
      </c>
      <c r="B11" s="3">
        <v>10</v>
      </c>
      <c r="C11" s="3"/>
      <c r="D11" s="2">
        <f>LOOKUP(use_fish!B11,base_fish!A:A,base_fish!C:C)+_xlfn.IFNA(INDEX(activity!E:E,MATCH(use_fish!C11,activity!A:A,0)),0)</f>
        <v>60</v>
      </c>
      <c r="E11" s="2">
        <f t="shared" si="0"/>
        <v>1.6666666666666666E-2</v>
      </c>
      <c r="F11" s="2" t="s">
        <v>29</v>
      </c>
      <c r="G11" s="5" t="str">
        <f>INDEX(base_fish!E:E,MATCH(use_fish!B11,base_fish!A:A,0))&amp;_xlfn.IFNA("+"&amp;INDEX(activity!F:F,MATCH(use_fish!C11,activity!A:A,0)),"")</f>
        <v>魔鬼鱼</v>
      </c>
    </row>
    <row r="12" spans="1:7" x14ac:dyDescent="0.2">
      <c r="A12" s="3">
        <v>11</v>
      </c>
      <c r="B12" s="3">
        <v>11</v>
      </c>
      <c r="C12" s="3"/>
      <c r="D12" s="2">
        <f>LOOKUP(use_fish!B12,base_fish!A:A,base_fish!C:C)+_xlfn.IFNA(INDEX(activity!E:E,MATCH(use_fish!C12,activity!A:A,0)),0)</f>
        <v>70</v>
      </c>
      <c r="E12" s="2">
        <f t="shared" si="0"/>
        <v>1.4285714285714285E-2</v>
      </c>
      <c r="F12" s="2" t="s">
        <v>29</v>
      </c>
      <c r="G12" s="5" t="str">
        <f>INDEX(base_fish!E:E,MATCH(use_fish!B12,base_fish!A:A,0))&amp;_xlfn.IFNA("+"&amp;INDEX(activity!F:F,MATCH(use_fish!C12,activity!A:A,0)),"")</f>
        <v>大白鲨</v>
      </c>
    </row>
    <row r="13" spans="1:7" x14ac:dyDescent="0.2">
      <c r="A13" s="3">
        <v>12</v>
      </c>
      <c r="B13" s="3">
        <v>12</v>
      </c>
      <c r="C13" s="3"/>
      <c r="D13" s="2">
        <f>LOOKUP(use_fish!B13,base_fish!A:A,base_fish!C:C)+_xlfn.IFNA(INDEX(activity!E:E,MATCH(use_fish!C13,activity!A:A,0)),0)</f>
        <v>100</v>
      </c>
      <c r="E13" s="2">
        <f t="shared" si="0"/>
        <v>0.01</v>
      </c>
      <c r="F13" s="2" t="s">
        <v>29</v>
      </c>
      <c r="G13" s="5" t="str">
        <f>INDEX(base_fish!E:E,MATCH(use_fish!B13,base_fish!A:A,0))&amp;_xlfn.IFNA("+"&amp;INDEX(activity!F:F,MATCH(use_fish!C13,activity!A:A,0)),"")</f>
        <v>锤头鲨</v>
      </c>
    </row>
    <row r="14" spans="1:7" x14ac:dyDescent="0.2">
      <c r="A14" s="3">
        <v>13</v>
      </c>
      <c r="B14" s="3">
        <v>13</v>
      </c>
      <c r="C14" s="3"/>
      <c r="D14" s="2">
        <f>LOOKUP(use_fish!B14,base_fish!A:A,base_fish!C:C)+_xlfn.IFNA(INDEX(activity!E:E,MATCH(use_fish!C14,activity!A:A,0)),0)</f>
        <v>150</v>
      </c>
      <c r="E14" s="2">
        <f t="shared" si="0"/>
        <v>6.6666666666666671E-3</v>
      </c>
      <c r="F14" s="2" t="s">
        <v>29</v>
      </c>
      <c r="G14" s="5" t="str">
        <f>INDEX(base_fish!E:E,MATCH(use_fish!B14,base_fish!A:A,0))&amp;_xlfn.IFNA("+"&amp;INDEX(activity!F:F,MATCH(use_fish!C14,activity!A:A,0)),"")</f>
        <v>虎鲸</v>
      </c>
    </row>
    <row r="15" spans="1:7" x14ac:dyDescent="0.2">
      <c r="A15" s="3">
        <v>14</v>
      </c>
      <c r="B15" s="3">
        <v>14</v>
      </c>
      <c r="C15" s="3"/>
      <c r="D15" s="2">
        <f>LOOKUP(use_fish!B15,base_fish!A:A,base_fish!C:C)+_xlfn.IFNA(INDEX(activity!E:E,MATCH(use_fish!C15,activity!A:A,0)),0)</f>
        <v>80</v>
      </c>
      <c r="E15" s="2">
        <f t="shared" si="0"/>
        <v>1.2500000000000001E-2</v>
      </c>
      <c r="F15" s="2" t="s">
        <v>29</v>
      </c>
      <c r="G15" s="5" t="str">
        <f>INDEX(base_fish!E:E,MATCH(use_fish!B15,base_fish!A:A,0))&amp;_xlfn.IFNA("+"&amp;INDEX(activity!F:F,MATCH(use_fish!C15,activity!A:A,0)),"")</f>
        <v>黄金海龟</v>
      </c>
    </row>
    <row r="16" spans="1:7" x14ac:dyDescent="0.2">
      <c r="A16" s="3">
        <v>15</v>
      </c>
      <c r="B16" s="3">
        <v>15</v>
      </c>
      <c r="C16" s="3"/>
      <c r="D16" s="2">
        <f>LOOKUP(use_fish!B16,base_fish!A:A,base_fish!C:C)+_xlfn.IFNA(INDEX(activity!E:E,MATCH(use_fish!C16,activity!A:A,0)),0)</f>
        <v>100</v>
      </c>
      <c r="E16" s="2">
        <f t="shared" si="0"/>
        <v>0.01</v>
      </c>
      <c r="F16" s="2" t="s">
        <v>29</v>
      </c>
      <c r="G16" s="5" t="str">
        <f>INDEX(base_fish!E:E,MATCH(use_fish!B16,base_fish!A:A,0))&amp;_xlfn.IFNA("+"&amp;INDEX(activity!F:F,MATCH(use_fish!C16,activity!A:A,0)),"")</f>
        <v>黄金灯笼鱼</v>
      </c>
    </row>
    <row r="17" spans="1:7" x14ac:dyDescent="0.2">
      <c r="A17" s="3">
        <v>16</v>
      </c>
      <c r="B17" s="3">
        <v>16</v>
      </c>
      <c r="C17" s="3"/>
      <c r="D17" s="2">
        <f>LOOKUP(use_fish!B17,base_fish!A:A,base_fish!C:C)+_xlfn.IFNA(INDEX(activity!E:E,MATCH(use_fish!C17,activity!A:A,0)),0)</f>
        <v>120</v>
      </c>
      <c r="E17" s="2">
        <f t="shared" si="0"/>
        <v>8.3333333333333332E-3</v>
      </c>
      <c r="F17" s="2" t="s">
        <v>29</v>
      </c>
      <c r="G17" s="5" t="str">
        <f>INDEX(base_fish!E:E,MATCH(use_fish!B17,base_fish!A:A,0))&amp;_xlfn.IFNA("+"&amp;INDEX(activity!F:F,MATCH(use_fish!C17,activity!A:A,0)),"")</f>
        <v>黄金魔鬼鱼</v>
      </c>
    </row>
    <row r="18" spans="1:7" x14ac:dyDescent="0.2">
      <c r="A18" s="3">
        <v>17</v>
      </c>
      <c r="B18" s="3">
        <v>17</v>
      </c>
      <c r="C18" s="3"/>
      <c r="D18" s="2">
        <f>LOOKUP(use_fish!B18,base_fish!A:A,base_fish!C:C)+_xlfn.IFNA(INDEX(activity!E:E,MATCH(use_fish!C18,activity!A:A,0)),0)</f>
        <v>140</v>
      </c>
      <c r="E18" s="2">
        <f t="shared" si="0"/>
        <v>7.1428571428571426E-3</v>
      </c>
      <c r="F18" s="2" t="s">
        <v>29</v>
      </c>
      <c r="G18" s="5" t="str">
        <f>INDEX(base_fish!E:E,MATCH(use_fish!B18,base_fish!A:A,0))&amp;_xlfn.IFNA("+"&amp;INDEX(activity!F:F,MATCH(use_fish!C18,activity!A:A,0)),"")</f>
        <v>黄金大白鲨</v>
      </c>
    </row>
    <row r="19" spans="1:7" x14ac:dyDescent="0.2">
      <c r="A19" s="3">
        <v>18</v>
      </c>
      <c r="B19" s="3">
        <v>18</v>
      </c>
      <c r="C19" s="3"/>
      <c r="D19" s="2">
        <f>LOOKUP(use_fish!B19,base_fish!A:A,base_fish!C:C)+_xlfn.IFNA(INDEX(activity!E:E,MATCH(use_fish!C19,activity!A:A,0)),0)</f>
        <v>200</v>
      </c>
      <c r="E19" s="2">
        <f t="shared" si="0"/>
        <v>5.0000000000000001E-3</v>
      </c>
      <c r="F19" s="2" t="s">
        <v>29</v>
      </c>
      <c r="G19" s="5" t="str">
        <f>INDEX(base_fish!E:E,MATCH(use_fish!B19,base_fish!A:A,0))&amp;_xlfn.IFNA("+"&amp;INDEX(activity!F:F,MATCH(use_fish!C19,activity!A:A,0)),"")</f>
        <v>黄金锤头鲨</v>
      </c>
    </row>
    <row r="20" spans="1:7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LOOKUP(use_fish!B20,base_fish!A:A,base_fish!C:C)+_xlfn.IFNA(INDEX(activity!E:E,MATCH(use_fish!C20,activity!A:A,0)),0)</f>
        <v>83</v>
      </c>
      <c r="E20" s="2">
        <f t="shared" ref="E20:E24" si="1">1/D20</f>
        <v>1.2048192771084338E-2</v>
      </c>
      <c r="F20" s="2" t="s">
        <v>29</v>
      </c>
      <c r="G20" s="5" t="str">
        <f>INDEX(base_fish!E:E,MATCH(use_fish!B20,base_fish!A:A,0))&amp;_xlfn.IFNA("+"&amp;INDEX(activity!F:F,MATCH(use_fish!C20,activity!A:A,0)),"")</f>
        <v>蓝灯鱼+威力提升</v>
      </c>
    </row>
    <row r="21" spans="1:7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LOOKUP(use_fish!B21,base_fish!A:A,base_fish!C:C)+_xlfn.IFNA(INDEX(activity!E:E,MATCH(use_fish!C21,activity!A:A,0)),0)</f>
        <v>83</v>
      </c>
      <c r="E21" s="2">
        <f t="shared" si="1"/>
        <v>1.2048192771084338E-2</v>
      </c>
      <c r="F21" s="2" t="s">
        <v>29</v>
      </c>
      <c r="G21" s="5" t="str">
        <f>INDEX(base_fish!E:E,MATCH(use_fish!B21,base_fish!A:A,0))&amp;_xlfn.IFNA("+"&amp;INDEX(activity!F:F,MATCH(use_fish!C21,activity!A:A,0)),"")</f>
        <v>蓝灯鱼+暴击时刻</v>
      </c>
    </row>
    <row r="22" spans="1:7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LOOKUP(use_fish!B22,base_fish!A:A,base_fish!C:C)+_xlfn.IFNA(INDEX(activity!E:E,MATCH(use_fish!C22,activity!A:A,0)),0)</f>
        <v>70</v>
      </c>
      <c r="E22" s="2">
        <f t="shared" si="1"/>
        <v>1.4285714285714285E-2</v>
      </c>
      <c r="F22" s="2" t="s">
        <v>29</v>
      </c>
      <c r="G22" s="5" t="str">
        <f>INDEX(base_fish!E:E,MATCH(use_fish!B22,base_fish!A:A,0))&amp;_xlfn.IFNA("+"&amp;INDEX(activity!F:F,MATCH(use_fish!C22,activity!A:A,0)),"")</f>
        <v>蓝灯鱼+闪电</v>
      </c>
    </row>
    <row r="23" spans="1:7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LOOKUP(use_fish!B23,base_fish!A:A,base_fish!C:C)+_xlfn.IFNA(INDEX(activity!E:E,MATCH(use_fish!C23,activity!A:A,0)),0)</f>
        <v>70</v>
      </c>
      <c r="E23" s="2">
        <f t="shared" si="1"/>
        <v>1.4285714285714285E-2</v>
      </c>
      <c r="F23" s="2" t="s">
        <v>29</v>
      </c>
      <c r="G23" s="5" t="str">
        <f>INDEX(base_fish!E:E,MATCH(use_fish!B23,base_fish!A:A,0))&amp;_xlfn.IFNA("+"&amp;INDEX(activity!F:F,MATCH(use_fish!C23,activity!A:A,0)),"")</f>
        <v>蓝灯鱼+免费子弹</v>
      </c>
    </row>
    <row r="24" spans="1:7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LOOKUP(use_fish!B24,base_fish!A:A,base_fish!C:C)+_xlfn.IFNA(INDEX(activity!E:E,MATCH(use_fish!C24,activity!A:A,0)),0)</f>
        <v>70</v>
      </c>
      <c r="E24" s="2">
        <f t="shared" si="1"/>
        <v>1.4285714285714285E-2</v>
      </c>
      <c r="F24" s="2" t="s">
        <v>29</v>
      </c>
      <c r="G24" s="5" t="str">
        <f>INDEX(base_fish!E:E,MATCH(use_fish!B24,base_fish!A:A,0))&amp;_xlfn.IFNA("+"&amp;INDEX(activity!F:F,MATCH(use_fish!C24,activity!A:A,0)),"")</f>
        <v>蓝灯鱼+闪电</v>
      </c>
    </row>
    <row r="25" spans="1:7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LOOKUP(use_fish!B25,base_fish!A:A,base_fish!C:C)+_xlfn.IFNA(INDEX(activity!E:E,MATCH(use_fish!C25,activity!A:A,0)),0)</f>
        <v>93</v>
      </c>
      <c r="E25" s="2">
        <f t="shared" ref="E25:E29" si="2">1/D25</f>
        <v>1.0752688172043012E-2</v>
      </c>
      <c r="F25" s="2" t="s">
        <v>29</v>
      </c>
      <c r="G25" s="5" t="str">
        <f>INDEX(base_fish!E:E,MATCH(use_fish!B25,base_fish!A:A,0))&amp;_xlfn.IFNA("+"&amp;INDEX(activity!F:F,MATCH(use_fish!C25,activity!A:A,0)),"")</f>
        <v>红杉鱼+威力提升</v>
      </c>
    </row>
    <row r="26" spans="1:7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LOOKUP(use_fish!B26,base_fish!A:A,base_fish!C:C)+_xlfn.IFNA(INDEX(activity!E:E,MATCH(use_fish!C26,activity!A:A,0)),0)</f>
        <v>93</v>
      </c>
      <c r="E26" s="2">
        <f t="shared" si="2"/>
        <v>1.0752688172043012E-2</v>
      </c>
      <c r="F26" s="2" t="s">
        <v>29</v>
      </c>
      <c r="G26" s="5" t="str">
        <f>INDEX(base_fish!E:E,MATCH(use_fish!B26,base_fish!A:A,0))&amp;_xlfn.IFNA("+"&amp;INDEX(activity!F:F,MATCH(use_fish!C26,activity!A:A,0)),"")</f>
        <v>红杉鱼+暴击时刻</v>
      </c>
    </row>
    <row r="27" spans="1:7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LOOKUP(use_fish!B27,base_fish!A:A,base_fish!C:C)+_xlfn.IFNA(INDEX(activity!E:E,MATCH(use_fish!C27,activity!A:A,0)),0)</f>
        <v>80</v>
      </c>
      <c r="E27" s="2">
        <f t="shared" si="2"/>
        <v>1.2500000000000001E-2</v>
      </c>
      <c r="F27" s="2" t="s">
        <v>29</v>
      </c>
      <c r="G27" s="5" t="str">
        <f>INDEX(base_fish!E:E,MATCH(use_fish!B27,base_fish!A:A,0))&amp;_xlfn.IFNA("+"&amp;INDEX(activity!F:F,MATCH(use_fish!C27,activity!A:A,0)),"")</f>
        <v>红杉鱼+闪电</v>
      </c>
    </row>
    <row r="28" spans="1:7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LOOKUP(use_fish!B28,base_fish!A:A,base_fish!C:C)+_xlfn.IFNA(INDEX(activity!E:E,MATCH(use_fish!C28,activity!A:A,0)),0)</f>
        <v>80</v>
      </c>
      <c r="E28" s="2">
        <f t="shared" si="2"/>
        <v>1.2500000000000001E-2</v>
      </c>
      <c r="F28" s="2" t="s">
        <v>29</v>
      </c>
      <c r="G28" s="5" t="str">
        <f>INDEX(base_fish!E:E,MATCH(use_fish!B28,base_fish!A:A,0))&amp;_xlfn.IFNA("+"&amp;INDEX(activity!F:F,MATCH(use_fish!C28,activity!A:A,0)),"")</f>
        <v>红杉鱼+免费子弹</v>
      </c>
    </row>
    <row r="29" spans="1:7" x14ac:dyDescent="0.2">
      <c r="A29" s="3">
        <v>28</v>
      </c>
      <c r="B29" s="3">
        <v>7</v>
      </c>
      <c r="C29" s="3">
        <v>10</v>
      </c>
      <c r="D29" s="2">
        <f>LOOKUP(use_fish!B29,base_fish!A:A,base_fish!C:C)+_xlfn.IFNA(INDEX(activity!E:E,MATCH(use_fish!C29,activity!A:A,0)),0)</f>
        <v>80</v>
      </c>
      <c r="E29" s="2">
        <f t="shared" si="2"/>
        <v>1.2500000000000001E-2</v>
      </c>
      <c r="F29" s="2" t="s">
        <v>29</v>
      </c>
      <c r="G29" s="5" t="str">
        <f>INDEX(base_fish!E:E,MATCH(use_fish!B29,base_fish!A:A,0))&amp;_xlfn.IFNA("+"&amp;INDEX(activity!F:F,MATCH(use_fish!C29,activity!A:A,0)),"")</f>
        <v>红杉鱼+闪电</v>
      </c>
    </row>
    <row r="30" spans="1:7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LOOKUP(use_fish!B30,base_fish!A:A,base_fish!C:C)+_xlfn.IFNA(INDEX(activity!E:E,MATCH(use_fish!C30,activity!A:A,0)),0)</f>
        <v>103</v>
      </c>
      <c r="E30" s="2">
        <f t="shared" ref="E30:E34" si="3">1/D30</f>
        <v>9.7087378640776691E-3</v>
      </c>
      <c r="F30" s="2" t="s">
        <v>29</v>
      </c>
      <c r="G30" s="5" t="str">
        <f>INDEX(base_fish!E:E,MATCH(use_fish!B30,base_fish!A:A,0))&amp;_xlfn.IFNA("+"&amp;INDEX(activity!F:F,MATCH(use_fish!C30,activity!A:A,0)),"")</f>
        <v>海龟+威力提升</v>
      </c>
    </row>
    <row r="31" spans="1:7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LOOKUP(use_fish!B31,base_fish!A:A,base_fish!C:C)+_xlfn.IFNA(INDEX(activity!E:E,MATCH(use_fish!C31,activity!A:A,0)),0)</f>
        <v>103</v>
      </c>
      <c r="E31" s="2">
        <f t="shared" si="3"/>
        <v>9.7087378640776691E-3</v>
      </c>
      <c r="F31" s="2" t="s">
        <v>29</v>
      </c>
      <c r="G31" s="5" t="str">
        <f>INDEX(base_fish!E:E,MATCH(use_fish!B31,base_fish!A:A,0))&amp;_xlfn.IFNA("+"&amp;INDEX(activity!F:F,MATCH(use_fish!C31,activity!A:A,0)),"")</f>
        <v>海龟+暴击时刻</v>
      </c>
    </row>
    <row r="32" spans="1:7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LOOKUP(use_fish!B32,base_fish!A:A,base_fish!C:C)+_xlfn.IFNA(INDEX(activity!E:E,MATCH(use_fish!C32,activity!A:A,0)),0)</f>
        <v>90</v>
      </c>
      <c r="E32" s="2">
        <f t="shared" si="3"/>
        <v>1.1111111111111112E-2</v>
      </c>
      <c r="F32" s="2" t="s">
        <v>29</v>
      </c>
      <c r="G32" s="5" t="str">
        <f>INDEX(base_fish!E:E,MATCH(use_fish!B32,base_fish!A:A,0))&amp;_xlfn.IFNA("+"&amp;INDEX(activity!F:F,MATCH(use_fish!C32,activity!A:A,0)),"")</f>
        <v>海龟+闪电</v>
      </c>
    </row>
    <row r="33" spans="1:7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LOOKUP(use_fish!B33,base_fish!A:A,base_fish!C:C)+_xlfn.IFNA(INDEX(activity!E:E,MATCH(use_fish!C33,activity!A:A,0)),0)</f>
        <v>90</v>
      </c>
      <c r="E33" s="2">
        <f t="shared" si="3"/>
        <v>1.1111111111111112E-2</v>
      </c>
      <c r="F33" s="2" t="s">
        <v>29</v>
      </c>
      <c r="G33" s="5" t="str">
        <f>INDEX(base_fish!E:E,MATCH(use_fish!B33,base_fish!A:A,0))&amp;_xlfn.IFNA("+"&amp;INDEX(activity!F:F,MATCH(use_fish!C33,activity!A:A,0)),"")</f>
        <v>海龟+免费子弹</v>
      </c>
    </row>
    <row r="34" spans="1:7" x14ac:dyDescent="0.2">
      <c r="A34" s="3">
        <v>33</v>
      </c>
      <c r="B34" s="3">
        <v>8</v>
      </c>
      <c r="C34" s="3">
        <v>10</v>
      </c>
      <c r="D34" s="2">
        <f>LOOKUP(use_fish!B34,base_fish!A:A,base_fish!C:C)+_xlfn.IFNA(INDEX(activity!E:E,MATCH(use_fish!C34,activity!A:A,0)),0)</f>
        <v>90</v>
      </c>
      <c r="E34" s="2">
        <f t="shared" si="3"/>
        <v>1.1111111111111112E-2</v>
      </c>
      <c r="F34" s="2" t="s">
        <v>29</v>
      </c>
      <c r="G34" s="5" t="str">
        <f>INDEX(base_fish!E:E,MATCH(use_fish!B34,base_fish!A:A,0))&amp;_xlfn.IFNA("+"&amp;INDEX(activity!F:F,MATCH(use_fish!C34,activity!A:A,0)),"")</f>
        <v>海龟+闪电</v>
      </c>
    </row>
    <row r="35" spans="1:7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LOOKUP(use_fish!B35,base_fish!A:A,base_fish!C:C)+_xlfn.IFNA(INDEX(activity!E:E,MATCH(use_fish!C35,activity!A:A,0)),0)</f>
        <v>40</v>
      </c>
      <c r="E35" s="2">
        <f t="shared" ref="E35:E102" si="4">1/D35</f>
        <v>2.5000000000000001E-2</v>
      </c>
      <c r="F35" s="2" t="s">
        <v>29</v>
      </c>
      <c r="G35" s="5" t="str">
        <f>INDEX(base_fish!E:E,MATCH(use_fish!B35,base_fish!A:A,0))&amp;_xlfn.IFNA("+"&amp;INDEX(activity!F:F,MATCH(use_fish!C35,activity!A:A,0)),"")</f>
        <v>海龟+锁定卡</v>
      </c>
    </row>
    <row r="36" spans="1:7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LOOKUP(use_fish!B36,base_fish!A:A,base_fish!C:C)+_xlfn.IFNA(INDEX(activity!E:E,MATCH(use_fish!C36,activity!A:A,0)),0)</f>
        <v>40</v>
      </c>
      <c r="E36" s="2">
        <f t="shared" si="4"/>
        <v>2.5000000000000001E-2</v>
      </c>
      <c r="F36" s="2" t="s">
        <v>29</v>
      </c>
      <c r="G36" s="5" t="str">
        <f>INDEX(base_fish!E:E,MATCH(use_fish!B36,base_fish!A:A,0))&amp;_xlfn.IFNA("+"&amp;INDEX(activity!F:F,MATCH(use_fish!C36,activity!A:A,0)),"")</f>
        <v>海龟+冰冻卡</v>
      </c>
    </row>
    <row r="37" spans="1:7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LOOKUP(use_fish!B37,base_fish!A:A,base_fish!C:C)+_xlfn.IFNA(INDEX(activity!E:E,MATCH(use_fish!C37,activity!A:A,0)),0)</f>
        <v>113</v>
      </c>
      <c r="E37" s="2">
        <f t="shared" ref="E37:E42" si="5">1/D37</f>
        <v>8.8495575221238937E-3</v>
      </c>
      <c r="F37" s="2" t="s">
        <v>29</v>
      </c>
      <c r="G37" s="5" t="str">
        <f>INDEX(base_fish!E:E,MATCH(use_fish!B37,base_fish!A:A,0))&amp;_xlfn.IFNA("+"&amp;INDEX(activity!F:F,MATCH(use_fish!C37,activity!A:A,0)),"")</f>
        <v>灯笼鱼+威力提升</v>
      </c>
    </row>
    <row r="38" spans="1:7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LOOKUP(use_fish!B38,base_fish!A:A,base_fish!C:C)+_xlfn.IFNA(INDEX(activity!E:E,MATCH(use_fish!C38,activity!A:A,0)),0)</f>
        <v>113</v>
      </c>
      <c r="E38" s="2">
        <f t="shared" si="5"/>
        <v>8.8495575221238937E-3</v>
      </c>
      <c r="F38" s="2" t="s">
        <v>29</v>
      </c>
      <c r="G38" s="5" t="str">
        <f>INDEX(base_fish!E:E,MATCH(use_fish!B38,base_fish!A:A,0))&amp;_xlfn.IFNA("+"&amp;INDEX(activity!F:F,MATCH(use_fish!C38,activity!A:A,0)),"")</f>
        <v>灯笼鱼+暴击时刻</v>
      </c>
    </row>
    <row r="39" spans="1:7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LOOKUP(use_fish!B39,base_fish!A:A,base_fish!C:C)+_xlfn.IFNA(INDEX(activity!E:E,MATCH(use_fish!C39,activity!A:A,0)),0)</f>
        <v>100</v>
      </c>
      <c r="E39" s="2">
        <f t="shared" si="5"/>
        <v>0.01</v>
      </c>
      <c r="F39" s="2" t="s">
        <v>29</v>
      </c>
      <c r="G39" s="5" t="str">
        <f>INDEX(base_fish!E:E,MATCH(use_fish!B39,base_fish!A:A,0))&amp;_xlfn.IFNA("+"&amp;INDEX(activity!F:F,MATCH(use_fish!C39,activity!A:A,0)),"")</f>
        <v>灯笼鱼+闪电</v>
      </c>
    </row>
    <row r="40" spans="1:7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LOOKUP(use_fish!B40,base_fish!A:A,base_fish!C:C)+_xlfn.IFNA(INDEX(activity!E:E,MATCH(use_fish!C40,activity!A:A,0)),0)</f>
        <v>100</v>
      </c>
      <c r="E40" s="2">
        <f t="shared" si="5"/>
        <v>0.01</v>
      </c>
      <c r="F40" s="2" t="s">
        <v>29</v>
      </c>
      <c r="G40" s="5" t="str">
        <f>INDEX(base_fish!E:E,MATCH(use_fish!B40,base_fish!A:A,0))&amp;_xlfn.IFNA("+"&amp;INDEX(activity!F:F,MATCH(use_fish!C40,activity!A:A,0)),"")</f>
        <v>灯笼鱼+免费子弹</v>
      </c>
    </row>
    <row r="41" spans="1:7" x14ac:dyDescent="0.2">
      <c r="A41" s="3">
        <v>40</v>
      </c>
      <c r="B41" s="3">
        <v>9</v>
      </c>
      <c r="C41" s="3">
        <v>10</v>
      </c>
      <c r="D41" s="2">
        <f>LOOKUP(use_fish!B41,base_fish!A:A,base_fish!C:C)+_xlfn.IFNA(INDEX(activity!E:E,MATCH(use_fish!C41,activity!A:A,0)),0)</f>
        <v>100</v>
      </c>
      <c r="E41" s="2">
        <f t="shared" si="5"/>
        <v>0.01</v>
      </c>
      <c r="F41" s="2" t="s">
        <v>29</v>
      </c>
      <c r="G41" s="5" t="str">
        <f>INDEX(base_fish!E:E,MATCH(use_fish!B41,base_fish!A:A,0))&amp;_xlfn.IFNA("+"&amp;INDEX(activity!F:F,MATCH(use_fish!C41,activity!A:A,0)),"")</f>
        <v>灯笼鱼+闪电</v>
      </c>
    </row>
    <row r="42" spans="1:7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LOOKUP(use_fish!B42,base_fish!A:A,base_fish!C:C)+_xlfn.IFNA(INDEX(activity!E:E,MATCH(use_fish!C42,activity!A:A,0)),0)</f>
        <v>50</v>
      </c>
      <c r="E42" s="2">
        <f t="shared" si="5"/>
        <v>0.02</v>
      </c>
      <c r="F42" s="2" t="s">
        <v>29</v>
      </c>
      <c r="G42" s="5" t="str">
        <f>INDEX(base_fish!E:E,MATCH(use_fish!B42,base_fish!A:A,0))&amp;_xlfn.IFNA("+"&amp;INDEX(activity!F:F,MATCH(use_fish!C42,activity!A:A,0)),"")</f>
        <v>灯笼鱼+锁定卡</v>
      </c>
    </row>
    <row r="43" spans="1:7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LOOKUP(use_fish!B43,base_fish!A:A,base_fish!C:C)+_xlfn.IFNA(INDEX(activity!E:E,MATCH(use_fish!C43,activity!A:A,0)),0)</f>
        <v>50</v>
      </c>
      <c r="E43" s="2">
        <f t="shared" si="4"/>
        <v>0.02</v>
      </c>
      <c r="F43" s="2" t="s">
        <v>29</v>
      </c>
      <c r="G43" s="5" t="str">
        <f>INDEX(base_fish!E:E,MATCH(use_fish!B43,base_fish!A:A,0))&amp;_xlfn.IFNA("+"&amp;INDEX(activity!F:F,MATCH(use_fish!C43,activity!A:A,0)),"")</f>
        <v>灯笼鱼+冰冻卡</v>
      </c>
    </row>
    <row r="44" spans="1:7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LOOKUP(use_fish!B44,base_fish!A:A,base_fish!C:C)+_xlfn.IFNA(INDEX(activity!E:E,MATCH(use_fish!C44,activity!A:A,0)),0)</f>
        <v>80</v>
      </c>
      <c r="E44" s="2">
        <f t="shared" si="4"/>
        <v>1.2500000000000001E-2</v>
      </c>
      <c r="F44" s="2" t="s">
        <v>29</v>
      </c>
      <c r="G44" s="5" t="str">
        <f>INDEX(base_fish!E:E,MATCH(use_fish!B44,base_fish!A:A,0))&amp;_xlfn.IFNA("+"&amp;INDEX(activity!F:F,MATCH(use_fish!C44,activity!A:A,0)),"")</f>
        <v>灯笼鱼+炸弹</v>
      </c>
    </row>
    <row r="45" spans="1:7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LOOKUP(use_fish!B45,base_fish!A:A,base_fish!C:C)+_xlfn.IFNA(INDEX(activity!E:E,MATCH(use_fish!C45,activity!A:A,0)),0)</f>
        <v>70</v>
      </c>
      <c r="E45" s="2">
        <f t="shared" si="4"/>
        <v>1.4285714285714285E-2</v>
      </c>
      <c r="F45" s="2" t="s">
        <v>29</v>
      </c>
      <c r="G45" s="5" t="str">
        <f>INDEX(base_fish!E:E,MATCH(use_fish!B45,base_fish!A:A,0))&amp;_xlfn.IFNA("+"&amp;INDEX(activity!F:F,MATCH(use_fish!C45,activity!A:A,0)),"")</f>
        <v>灯笼鱼+炸弹</v>
      </c>
    </row>
    <row r="46" spans="1:7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LOOKUP(use_fish!B46,base_fish!A:A,base_fish!C:C)+_xlfn.IFNA(INDEX(activity!E:E,MATCH(use_fish!C46,activity!A:A,0)),0)</f>
        <v>123</v>
      </c>
      <c r="E46" s="2">
        <f t="shared" ref="E46:E51" si="6">1/D46</f>
        <v>8.130081300813009E-3</v>
      </c>
      <c r="F46" s="2" t="s">
        <v>29</v>
      </c>
      <c r="G46" s="5" t="str">
        <f>INDEX(base_fish!E:E,MATCH(use_fish!B46,base_fish!A:A,0))&amp;_xlfn.IFNA("+"&amp;INDEX(activity!F:F,MATCH(use_fish!C46,activity!A:A,0)),"")</f>
        <v>魔鬼鱼+威力提升</v>
      </c>
    </row>
    <row r="47" spans="1:7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LOOKUP(use_fish!B47,base_fish!A:A,base_fish!C:C)+_xlfn.IFNA(INDEX(activity!E:E,MATCH(use_fish!C47,activity!A:A,0)),0)</f>
        <v>123</v>
      </c>
      <c r="E47" s="2">
        <f t="shared" si="6"/>
        <v>8.130081300813009E-3</v>
      </c>
      <c r="F47" s="2" t="s">
        <v>29</v>
      </c>
      <c r="G47" s="5" t="str">
        <f>INDEX(base_fish!E:E,MATCH(use_fish!B47,base_fish!A:A,0))&amp;_xlfn.IFNA("+"&amp;INDEX(activity!F:F,MATCH(use_fish!C47,activity!A:A,0)),"")</f>
        <v>魔鬼鱼+暴击时刻</v>
      </c>
    </row>
    <row r="48" spans="1:7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LOOKUP(use_fish!B48,base_fish!A:A,base_fish!C:C)+_xlfn.IFNA(INDEX(activity!E:E,MATCH(use_fish!C48,activity!A:A,0)),0)</f>
        <v>110</v>
      </c>
      <c r="E48" s="2">
        <f t="shared" si="6"/>
        <v>9.0909090909090905E-3</v>
      </c>
      <c r="F48" s="2" t="s">
        <v>29</v>
      </c>
      <c r="G48" s="5" t="str">
        <f>INDEX(base_fish!E:E,MATCH(use_fish!B48,base_fish!A:A,0))&amp;_xlfn.IFNA("+"&amp;INDEX(activity!F:F,MATCH(use_fish!C48,activity!A:A,0)),"")</f>
        <v>魔鬼鱼+闪电</v>
      </c>
    </row>
    <row r="49" spans="1:7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LOOKUP(use_fish!B49,base_fish!A:A,base_fish!C:C)+_xlfn.IFNA(INDEX(activity!E:E,MATCH(use_fish!C49,activity!A:A,0)),0)</f>
        <v>110</v>
      </c>
      <c r="E49" s="2">
        <f t="shared" si="6"/>
        <v>9.0909090909090905E-3</v>
      </c>
      <c r="F49" s="2" t="s">
        <v>29</v>
      </c>
      <c r="G49" s="5" t="str">
        <f>INDEX(base_fish!E:E,MATCH(use_fish!B49,base_fish!A:A,0))&amp;_xlfn.IFNA("+"&amp;INDEX(activity!F:F,MATCH(use_fish!C49,activity!A:A,0)),"")</f>
        <v>魔鬼鱼+免费子弹</v>
      </c>
    </row>
    <row r="50" spans="1:7" x14ac:dyDescent="0.2">
      <c r="A50" s="3">
        <v>49</v>
      </c>
      <c r="B50" s="3">
        <v>10</v>
      </c>
      <c r="C50" s="3">
        <v>10</v>
      </c>
      <c r="D50" s="2">
        <f>LOOKUP(use_fish!B50,base_fish!A:A,base_fish!C:C)+_xlfn.IFNA(INDEX(activity!E:E,MATCH(use_fish!C50,activity!A:A,0)),0)</f>
        <v>110</v>
      </c>
      <c r="E50" s="2">
        <f t="shared" si="6"/>
        <v>9.0909090909090905E-3</v>
      </c>
      <c r="F50" s="2" t="s">
        <v>29</v>
      </c>
      <c r="G50" s="5" t="str">
        <f>INDEX(base_fish!E:E,MATCH(use_fish!B50,base_fish!A:A,0))&amp;_xlfn.IFNA("+"&amp;INDEX(activity!F:F,MATCH(use_fish!C50,activity!A:A,0)),"")</f>
        <v>魔鬼鱼+闪电</v>
      </c>
    </row>
    <row r="51" spans="1:7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LOOKUP(use_fish!B51,base_fish!A:A,base_fish!C:C)+_xlfn.IFNA(INDEX(activity!E:E,MATCH(use_fish!C51,activity!A:A,0)),0)</f>
        <v>60</v>
      </c>
      <c r="E51" s="2">
        <f t="shared" si="6"/>
        <v>1.6666666666666666E-2</v>
      </c>
      <c r="F51" s="2" t="s">
        <v>29</v>
      </c>
      <c r="G51" s="5" t="str">
        <f>INDEX(base_fish!E:E,MATCH(use_fish!B51,base_fish!A:A,0))&amp;_xlfn.IFNA("+"&amp;INDEX(activity!F:F,MATCH(use_fish!C51,activity!A:A,0)),"")</f>
        <v>魔鬼鱼+锁定卡</v>
      </c>
    </row>
    <row r="52" spans="1:7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LOOKUP(use_fish!B52,base_fish!A:A,base_fish!C:C)+_xlfn.IFNA(INDEX(activity!E:E,MATCH(use_fish!C52,activity!A:A,0)),0)</f>
        <v>60</v>
      </c>
      <c r="E52" s="2">
        <f t="shared" si="4"/>
        <v>1.6666666666666666E-2</v>
      </c>
      <c r="F52" s="2" t="s">
        <v>29</v>
      </c>
      <c r="G52" s="5" t="str">
        <f>INDEX(base_fish!E:E,MATCH(use_fish!B52,base_fish!A:A,0))&amp;_xlfn.IFNA("+"&amp;INDEX(activity!F:F,MATCH(use_fish!C52,activity!A:A,0)),"")</f>
        <v>魔鬼鱼+冰冻卡</v>
      </c>
    </row>
    <row r="53" spans="1:7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LOOKUP(use_fish!B53,base_fish!A:A,base_fish!C:C)+_xlfn.IFNA(INDEX(activity!E:E,MATCH(use_fish!C53,activity!A:A,0)),0)</f>
        <v>60</v>
      </c>
      <c r="E53" s="2">
        <f t="shared" si="4"/>
        <v>1.6666666666666666E-2</v>
      </c>
      <c r="F53" s="2" t="s">
        <v>29</v>
      </c>
      <c r="G53" s="5" t="str">
        <f>INDEX(base_fish!E:E,MATCH(use_fish!B53,base_fish!A:A,0))&amp;_xlfn.IFNA("+"&amp;INDEX(activity!F:F,MATCH(use_fish!C53,activity!A:A,0)),"")</f>
        <v>魔鬼鱼+冰冻卡</v>
      </c>
    </row>
    <row r="54" spans="1:7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LOOKUP(use_fish!B54,base_fish!A:A,base_fish!C:C)+_xlfn.IFNA(INDEX(activity!E:E,MATCH(use_fish!C54,activity!A:A,0)),0)</f>
        <v>90</v>
      </c>
      <c r="E54" s="2">
        <f t="shared" si="4"/>
        <v>1.1111111111111112E-2</v>
      </c>
      <c r="F54" s="2" t="s">
        <v>29</v>
      </c>
      <c r="G54" s="5" t="str">
        <f>INDEX(base_fish!E:E,MATCH(use_fish!B54,base_fish!A:A,0))&amp;_xlfn.IFNA("+"&amp;INDEX(activity!F:F,MATCH(use_fish!C54,activity!A:A,0)),"")</f>
        <v>魔鬼鱼+炸弹</v>
      </c>
    </row>
    <row r="55" spans="1:7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LOOKUP(use_fish!B55,base_fish!A:A,base_fish!C:C)+_xlfn.IFNA(INDEX(activity!E:E,MATCH(use_fish!C55,activity!A:A,0)),0)</f>
        <v>80</v>
      </c>
      <c r="E55" s="2">
        <f t="shared" si="4"/>
        <v>1.2500000000000001E-2</v>
      </c>
      <c r="F55" s="2" t="s">
        <v>29</v>
      </c>
      <c r="G55" s="5" t="str">
        <f>INDEX(base_fish!E:E,MATCH(use_fish!B55,base_fish!A:A,0))&amp;_xlfn.IFNA("+"&amp;INDEX(activity!F:F,MATCH(use_fish!C55,activity!A:A,0)),"")</f>
        <v>魔鬼鱼+炸弹</v>
      </c>
    </row>
    <row r="56" spans="1:7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LOOKUP(use_fish!B56,base_fish!A:A,base_fish!C:C)+_xlfn.IFNA(INDEX(activity!E:E,MATCH(use_fish!C56,activity!A:A,0)),0)</f>
        <v>133</v>
      </c>
      <c r="E56" s="2">
        <f t="shared" ref="E56:E62" si="7">1/D56</f>
        <v>7.5187969924812026E-3</v>
      </c>
      <c r="F56" s="2" t="s">
        <v>29</v>
      </c>
      <c r="G56" s="5" t="str">
        <f>INDEX(base_fish!E:E,MATCH(use_fish!B56,base_fish!A:A,0))&amp;_xlfn.IFNA("+"&amp;INDEX(activity!F:F,MATCH(use_fish!C56,activity!A:A,0)),"")</f>
        <v>大白鲨+威力提升</v>
      </c>
    </row>
    <row r="57" spans="1:7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LOOKUP(use_fish!B57,base_fish!A:A,base_fish!C:C)+_xlfn.IFNA(INDEX(activity!E:E,MATCH(use_fish!C57,activity!A:A,0)),0)</f>
        <v>133</v>
      </c>
      <c r="E57" s="2">
        <f t="shared" si="7"/>
        <v>7.5187969924812026E-3</v>
      </c>
      <c r="F57" s="2" t="s">
        <v>29</v>
      </c>
      <c r="G57" s="5" t="str">
        <f>INDEX(base_fish!E:E,MATCH(use_fish!B57,base_fish!A:A,0))&amp;_xlfn.IFNA("+"&amp;INDEX(activity!F:F,MATCH(use_fish!C57,activity!A:A,0)),"")</f>
        <v>大白鲨+暴击时刻</v>
      </c>
    </row>
    <row r="58" spans="1:7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LOOKUP(use_fish!B58,base_fish!A:A,base_fish!C:C)+_xlfn.IFNA(INDEX(activity!E:E,MATCH(use_fish!C58,activity!A:A,0)),0)</f>
        <v>120</v>
      </c>
      <c r="E58" s="2">
        <f t="shared" si="7"/>
        <v>8.3333333333333332E-3</v>
      </c>
      <c r="F58" s="2" t="s">
        <v>29</v>
      </c>
      <c r="G58" s="5" t="str">
        <f>INDEX(base_fish!E:E,MATCH(use_fish!B58,base_fish!A:A,0))&amp;_xlfn.IFNA("+"&amp;INDEX(activity!F:F,MATCH(use_fish!C58,activity!A:A,0)),"")</f>
        <v>大白鲨+闪电</v>
      </c>
    </row>
    <row r="59" spans="1:7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LOOKUP(use_fish!B59,base_fish!A:A,base_fish!C:C)+_xlfn.IFNA(INDEX(activity!E:E,MATCH(use_fish!C59,activity!A:A,0)),0)</f>
        <v>120</v>
      </c>
      <c r="E59" s="2">
        <f t="shared" si="7"/>
        <v>8.3333333333333332E-3</v>
      </c>
      <c r="F59" s="2" t="s">
        <v>29</v>
      </c>
      <c r="G59" s="5" t="str">
        <f>INDEX(base_fish!E:E,MATCH(use_fish!B59,base_fish!A:A,0))&amp;_xlfn.IFNA("+"&amp;INDEX(activity!F:F,MATCH(use_fish!C59,activity!A:A,0)),"")</f>
        <v>大白鲨+免费子弹</v>
      </c>
    </row>
    <row r="60" spans="1:7" x14ac:dyDescent="0.2">
      <c r="A60" s="3">
        <v>59</v>
      </c>
      <c r="B60" s="3">
        <v>11</v>
      </c>
      <c r="C60" s="3">
        <v>10</v>
      </c>
      <c r="D60" s="2">
        <f>LOOKUP(use_fish!B60,base_fish!A:A,base_fish!C:C)+_xlfn.IFNA(INDEX(activity!E:E,MATCH(use_fish!C60,activity!A:A,0)),0)</f>
        <v>120</v>
      </c>
      <c r="E60" s="2">
        <f t="shared" si="7"/>
        <v>8.3333333333333332E-3</v>
      </c>
      <c r="F60" s="2" t="s">
        <v>29</v>
      </c>
      <c r="G60" s="5" t="str">
        <f>INDEX(base_fish!E:E,MATCH(use_fish!B60,base_fish!A:A,0))&amp;_xlfn.IFNA("+"&amp;INDEX(activity!F:F,MATCH(use_fish!C60,activity!A:A,0)),"")</f>
        <v>大白鲨+闪电</v>
      </c>
    </row>
    <row r="61" spans="1:7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LOOKUP(use_fish!B61,base_fish!A:A,base_fish!C:C)+_xlfn.IFNA(INDEX(activity!E:E,MATCH(use_fish!C61,activity!A:A,0)),0)</f>
        <v>70</v>
      </c>
      <c r="E61" s="2">
        <f t="shared" si="7"/>
        <v>1.4285714285714285E-2</v>
      </c>
      <c r="F61" s="2" t="s">
        <v>29</v>
      </c>
      <c r="G61" s="5" t="str">
        <f>INDEX(base_fish!E:E,MATCH(use_fish!B61,base_fish!A:A,0))&amp;_xlfn.IFNA("+"&amp;INDEX(activity!F:F,MATCH(use_fish!C61,activity!A:A,0)),"")</f>
        <v>大白鲨+锁定卡</v>
      </c>
    </row>
    <row r="62" spans="1:7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LOOKUP(use_fish!B62,base_fish!A:A,base_fish!C:C)+_xlfn.IFNA(INDEX(activity!E:E,MATCH(use_fish!C62,activity!A:A,0)),0)</f>
        <v>70</v>
      </c>
      <c r="E62" s="2">
        <f t="shared" si="7"/>
        <v>1.4285714285714285E-2</v>
      </c>
      <c r="F62" s="2" t="s">
        <v>29</v>
      </c>
      <c r="G62" s="5" t="str">
        <f>INDEX(base_fish!E:E,MATCH(use_fish!B62,base_fish!A:A,0))&amp;_xlfn.IFNA("+"&amp;INDEX(activity!F:F,MATCH(use_fish!C62,activity!A:A,0)),"")</f>
        <v>大白鲨+锁定卡</v>
      </c>
    </row>
    <row r="63" spans="1:7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LOOKUP(use_fish!B63,base_fish!A:A,base_fish!C:C)+_xlfn.IFNA(INDEX(activity!E:E,MATCH(use_fish!C63,activity!A:A,0)),0)</f>
        <v>70</v>
      </c>
      <c r="E63" s="2">
        <f t="shared" si="4"/>
        <v>1.4285714285714285E-2</v>
      </c>
      <c r="F63" s="2" t="s">
        <v>29</v>
      </c>
      <c r="G63" s="5" t="str">
        <f>INDEX(base_fish!E:E,MATCH(use_fish!B63,base_fish!A:A,0))&amp;_xlfn.IFNA("+"&amp;INDEX(activity!F:F,MATCH(use_fish!C63,activity!A:A,0)),"")</f>
        <v>大白鲨+冰冻卡</v>
      </c>
    </row>
    <row r="64" spans="1:7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LOOKUP(use_fish!B64,base_fish!A:A,base_fish!C:C)+_xlfn.IFNA(INDEX(activity!E:E,MATCH(use_fish!C64,activity!A:A,0)),0)</f>
        <v>70</v>
      </c>
      <c r="E64" s="2">
        <f t="shared" si="4"/>
        <v>1.4285714285714285E-2</v>
      </c>
      <c r="F64" s="2" t="s">
        <v>29</v>
      </c>
      <c r="G64" s="5" t="str">
        <f>INDEX(base_fish!E:E,MATCH(use_fish!B64,base_fish!A:A,0))&amp;_xlfn.IFNA("+"&amp;INDEX(activity!F:F,MATCH(use_fish!C64,activity!A:A,0)),"")</f>
        <v>大白鲨+冰冻卡</v>
      </c>
    </row>
    <row r="65" spans="1:7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LOOKUP(use_fish!B65,base_fish!A:A,base_fish!C:C)+_xlfn.IFNA(INDEX(activity!E:E,MATCH(use_fish!C65,activity!A:A,0)),0)</f>
        <v>163</v>
      </c>
      <c r="E65" s="2">
        <f t="shared" ref="E65:E69" si="8">1/D65</f>
        <v>6.1349693251533744E-3</v>
      </c>
      <c r="F65" s="2" t="s">
        <v>29</v>
      </c>
      <c r="G65" s="5" t="str">
        <f>INDEX(base_fish!E:E,MATCH(use_fish!B65,base_fish!A:A,0))&amp;_xlfn.IFNA("+"&amp;INDEX(activity!F:F,MATCH(use_fish!C65,activity!A:A,0)),"")</f>
        <v>锤头鲨+威力提升</v>
      </c>
    </row>
    <row r="66" spans="1:7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LOOKUP(use_fish!B66,base_fish!A:A,base_fish!C:C)+_xlfn.IFNA(INDEX(activity!E:E,MATCH(use_fish!C66,activity!A:A,0)),0)</f>
        <v>163</v>
      </c>
      <c r="E66" s="2">
        <f t="shared" si="8"/>
        <v>6.1349693251533744E-3</v>
      </c>
      <c r="F66" s="2" t="s">
        <v>29</v>
      </c>
      <c r="G66" s="5" t="str">
        <f>INDEX(base_fish!E:E,MATCH(use_fish!B66,base_fish!A:A,0))&amp;_xlfn.IFNA("+"&amp;INDEX(activity!F:F,MATCH(use_fish!C66,activity!A:A,0)),"")</f>
        <v>锤头鲨+暴击时刻</v>
      </c>
    </row>
    <row r="67" spans="1:7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LOOKUP(use_fish!B67,base_fish!A:A,base_fish!C:C)+_xlfn.IFNA(INDEX(activity!E:E,MATCH(use_fish!C67,activity!A:A,0)),0)</f>
        <v>150</v>
      </c>
      <c r="E67" s="2">
        <f t="shared" si="8"/>
        <v>6.6666666666666671E-3</v>
      </c>
      <c r="F67" s="2" t="s">
        <v>29</v>
      </c>
      <c r="G67" s="5" t="str">
        <f>INDEX(base_fish!E:E,MATCH(use_fish!B67,base_fish!A:A,0))&amp;_xlfn.IFNA("+"&amp;INDEX(activity!F:F,MATCH(use_fish!C67,activity!A:A,0)),"")</f>
        <v>锤头鲨+闪电</v>
      </c>
    </row>
    <row r="68" spans="1:7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LOOKUP(use_fish!B68,base_fish!A:A,base_fish!C:C)+_xlfn.IFNA(INDEX(activity!E:E,MATCH(use_fish!C68,activity!A:A,0)),0)</f>
        <v>150</v>
      </c>
      <c r="E68" s="2">
        <f t="shared" si="8"/>
        <v>6.6666666666666671E-3</v>
      </c>
      <c r="F68" s="2" t="s">
        <v>29</v>
      </c>
      <c r="G68" s="5" t="str">
        <f>INDEX(base_fish!E:E,MATCH(use_fish!B68,base_fish!A:A,0))&amp;_xlfn.IFNA("+"&amp;INDEX(activity!F:F,MATCH(use_fish!C68,activity!A:A,0)),"")</f>
        <v>锤头鲨+免费子弹</v>
      </c>
    </row>
    <row r="69" spans="1:7" x14ac:dyDescent="0.2">
      <c r="A69" s="3">
        <v>68</v>
      </c>
      <c r="B69" s="3">
        <v>12</v>
      </c>
      <c r="C69" s="3">
        <v>10</v>
      </c>
      <c r="D69" s="2">
        <f>LOOKUP(use_fish!B69,base_fish!A:A,base_fish!C:C)+_xlfn.IFNA(INDEX(activity!E:E,MATCH(use_fish!C69,activity!A:A,0)),0)</f>
        <v>150</v>
      </c>
      <c r="E69" s="2">
        <f t="shared" si="8"/>
        <v>6.6666666666666671E-3</v>
      </c>
      <c r="F69" s="2" t="s">
        <v>29</v>
      </c>
      <c r="G69" s="5" t="str">
        <f>INDEX(base_fish!E:E,MATCH(use_fish!B69,base_fish!A:A,0))&amp;_xlfn.IFNA("+"&amp;INDEX(activity!F:F,MATCH(use_fish!C69,activity!A:A,0)),"")</f>
        <v>锤头鲨+闪电</v>
      </c>
    </row>
    <row r="70" spans="1:7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LOOKUP(use_fish!B70,base_fish!A:A,base_fish!C:C)+_xlfn.IFNA(INDEX(activity!E:E,MATCH(use_fish!C70,activity!A:A,0)),0)</f>
        <v>100</v>
      </c>
      <c r="E70" s="2">
        <f t="shared" si="4"/>
        <v>0.01</v>
      </c>
      <c r="F70" s="2" t="s">
        <v>29</v>
      </c>
      <c r="G70" s="5" t="str">
        <f>INDEX(base_fish!E:E,MATCH(use_fish!B70,base_fish!A:A,0))&amp;_xlfn.IFNA("+"&amp;INDEX(activity!F:F,MATCH(use_fish!C70,activity!A:A,0)),"")</f>
        <v>锤头鲨+锁定卡</v>
      </c>
    </row>
    <row r="71" spans="1:7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LOOKUP(use_fish!B71,base_fish!A:A,base_fish!C:C)+_xlfn.IFNA(INDEX(activity!E:E,MATCH(use_fish!C71,activity!A:A,0)),0)</f>
        <v>100</v>
      </c>
      <c r="E71" s="2">
        <f t="shared" si="4"/>
        <v>0.01</v>
      </c>
      <c r="F71" s="2" t="s">
        <v>29</v>
      </c>
      <c r="G71" s="5" t="str">
        <f>INDEX(base_fish!E:E,MATCH(use_fish!B71,base_fish!A:A,0))&amp;_xlfn.IFNA("+"&amp;INDEX(activity!F:F,MATCH(use_fish!C71,activity!A:A,0)),"")</f>
        <v>锤头鲨+冰冻卡</v>
      </c>
    </row>
    <row r="72" spans="1:7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LOOKUP(use_fish!B72,base_fish!A:A,base_fish!C:C)+_xlfn.IFNA(INDEX(activity!E:E,MATCH(use_fish!C72,activity!A:A,0)),0)</f>
        <v>100</v>
      </c>
      <c r="E72" s="2">
        <f t="shared" si="4"/>
        <v>0.01</v>
      </c>
      <c r="F72" s="2" t="s">
        <v>29</v>
      </c>
      <c r="G72" s="5" t="str">
        <f>INDEX(base_fish!E:E,MATCH(use_fish!B72,base_fish!A:A,0))&amp;_xlfn.IFNA("+"&amp;INDEX(activity!F:F,MATCH(use_fish!C72,activity!A:A,0)),"")</f>
        <v>锤头鲨+冰冻卡</v>
      </c>
    </row>
    <row r="73" spans="1:7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LOOKUP(use_fish!B73,base_fish!A:A,base_fish!C:C)+_xlfn.IFNA(INDEX(activity!E:E,MATCH(use_fish!C73,activity!A:A,0)),0)</f>
        <v>143</v>
      </c>
      <c r="E73" s="2">
        <f t="shared" ref="E73:E79" si="9">1/D73</f>
        <v>6.993006993006993E-3</v>
      </c>
      <c r="F73" s="2" t="s">
        <v>29</v>
      </c>
      <c r="G73" s="5" t="str">
        <f>INDEX(base_fish!E:E,MATCH(use_fish!B73,base_fish!A:A,0))&amp;_xlfn.IFNA("+"&amp;INDEX(activity!F:F,MATCH(use_fish!C73,activity!A:A,0)),"")</f>
        <v>黄金海龟+威力提升</v>
      </c>
    </row>
    <row r="74" spans="1:7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LOOKUP(use_fish!B74,base_fish!A:A,base_fish!C:C)+_xlfn.IFNA(INDEX(activity!E:E,MATCH(use_fish!C74,activity!A:A,0)),0)</f>
        <v>143</v>
      </c>
      <c r="E74" s="2">
        <f t="shared" si="9"/>
        <v>6.993006993006993E-3</v>
      </c>
      <c r="F74" s="2" t="s">
        <v>29</v>
      </c>
      <c r="G74" s="5" t="str">
        <f>INDEX(base_fish!E:E,MATCH(use_fish!B74,base_fish!A:A,0))&amp;_xlfn.IFNA("+"&amp;INDEX(activity!F:F,MATCH(use_fish!C74,activity!A:A,0)),"")</f>
        <v>黄金海龟+暴击时刻</v>
      </c>
    </row>
    <row r="75" spans="1:7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LOOKUP(use_fish!B75,base_fish!A:A,base_fish!C:C)+_xlfn.IFNA(INDEX(activity!E:E,MATCH(use_fish!C75,activity!A:A,0)),0)</f>
        <v>130</v>
      </c>
      <c r="E75" s="2">
        <f t="shared" si="9"/>
        <v>7.6923076923076927E-3</v>
      </c>
      <c r="F75" s="2" t="s">
        <v>29</v>
      </c>
      <c r="G75" s="5" t="str">
        <f>INDEX(base_fish!E:E,MATCH(use_fish!B75,base_fish!A:A,0))&amp;_xlfn.IFNA("+"&amp;INDEX(activity!F:F,MATCH(use_fish!C75,activity!A:A,0)),"")</f>
        <v>黄金海龟+闪电</v>
      </c>
    </row>
    <row r="76" spans="1:7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LOOKUP(use_fish!B76,base_fish!A:A,base_fish!C:C)+_xlfn.IFNA(INDEX(activity!E:E,MATCH(use_fish!C76,activity!A:A,0)),0)</f>
        <v>130</v>
      </c>
      <c r="E76" s="2">
        <f t="shared" si="9"/>
        <v>7.6923076923076927E-3</v>
      </c>
      <c r="F76" s="2" t="s">
        <v>29</v>
      </c>
      <c r="G76" s="5" t="str">
        <f>INDEX(base_fish!E:E,MATCH(use_fish!B76,base_fish!A:A,0))&amp;_xlfn.IFNA("+"&amp;INDEX(activity!F:F,MATCH(use_fish!C76,activity!A:A,0)),"")</f>
        <v>黄金海龟+免费子弹</v>
      </c>
    </row>
    <row r="77" spans="1:7" x14ac:dyDescent="0.2">
      <c r="A77" s="3">
        <v>76</v>
      </c>
      <c r="B77" s="3">
        <v>14</v>
      </c>
      <c r="C77" s="3">
        <v>10</v>
      </c>
      <c r="D77" s="2">
        <f>LOOKUP(use_fish!B77,base_fish!A:A,base_fish!C:C)+_xlfn.IFNA(INDEX(activity!E:E,MATCH(use_fish!C77,activity!A:A,0)),0)</f>
        <v>130</v>
      </c>
      <c r="E77" s="2">
        <f t="shared" si="9"/>
        <v>7.6923076923076927E-3</v>
      </c>
      <c r="F77" s="2" t="s">
        <v>29</v>
      </c>
      <c r="G77" s="5" t="str">
        <f>INDEX(base_fish!E:E,MATCH(use_fish!B77,base_fish!A:A,0))&amp;_xlfn.IFNA("+"&amp;INDEX(activity!F:F,MATCH(use_fish!C77,activity!A:A,0)),"")</f>
        <v>黄金海龟+闪电</v>
      </c>
    </row>
    <row r="78" spans="1:7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LOOKUP(use_fish!B78,base_fish!A:A,base_fish!C:C)+_xlfn.IFNA(INDEX(activity!E:E,MATCH(use_fish!C78,activity!A:A,0)),0)</f>
        <v>80</v>
      </c>
      <c r="E78" s="2">
        <f t="shared" si="9"/>
        <v>1.2500000000000001E-2</v>
      </c>
      <c r="F78" s="2" t="s">
        <v>29</v>
      </c>
      <c r="G78" s="5" t="str">
        <f>INDEX(base_fish!E:E,MATCH(use_fish!B78,base_fish!A:A,0))&amp;_xlfn.IFNA("+"&amp;INDEX(activity!F:F,MATCH(use_fish!C78,activity!A:A,0)),"")</f>
        <v>黄金海龟+锁定卡</v>
      </c>
    </row>
    <row r="79" spans="1:7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LOOKUP(use_fish!B79,base_fish!A:A,base_fish!C:C)+_xlfn.IFNA(INDEX(activity!E:E,MATCH(use_fish!C79,activity!A:A,0)),0)</f>
        <v>80</v>
      </c>
      <c r="E79" s="2">
        <f t="shared" si="9"/>
        <v>1.2500000000000001E-2</v>
      </c>
      <c r="F79" s="2" t="s">
        <v>29</v>
      </c>
      <c r="G79" s="5" t="str">
        <f>INDEX(base_fish!E:E,MATCH(use_fish!B79,base_fish!A:A,0))&amp;_xlfn.IFNA("+"&amp;INDEX(activity!F:F,MATCH(use_fish!C79,activity!A:A,0)),"")</f>
        <v>黄金海龟+锁定卡</v>
      </c>
    </row>
    <row r="80" spans="1:7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LOOKUP(use_fish!B80,base_fish!A:A,base_fish!C:C)+_xlfn.IFNA(INDEX(activity!E:E,MATCH(use_fish!C80,activity!A:A,0)),0)</f>
        <v>80</v>
      </c>
      <c r="E80" s="2">
        <f t="shared" si="4"/>
        <v>1.2500000000000001E-2</v>
      </c>
      <c r="F80" s="2" t="s">
        <v>29</v>
      </c>
      <c r="G80" s="5" t="str">
        <f>INDEX(base_fish!E:E,MATCH(use_fish!B80,base_fish!A:A,0))&amp;_xlfn.IFNA("+"&amp;INDEX(activity!F:F,MATCH(use_fish!C80,activity!A:A,0)),"")</f>
        <v>黄金海龟+冰冻卡</v>
      </c>
    </row>
    <row r="81" spans="1:7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LOOKUP(use_fish!B81,base_fish!A:A,base_fish!C:C)+_xlfn.IFNA(INDEX(activity!E:E,MATCH(use_fish!C81,activity!A:A,0)),0)</f>
        <v>110</v>
      </c>
      <c r="E81" s="2">
        <f t="shared" si="4"/>
        <v>9.0909090909090905E-3</v>
      </c>
      <c r="F81" s="2" t="s">
        <v>29</v>
      </c>
      <c r="G81" s="5" t="str">
        <f>INDEX(base_fish!E:E,MATCH(use_fish!B81,base_fish!A:A,0))&amp;_xlfn.IFNA("+"&amp;INDEX(activity!F:F,MATCH(use_fish!C81,activity!A:A,0)),"")</f>
        <v>黄金海龟+炸弹</v>
      </c>
    </row>
    <row r="82" spans="1:7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LOOKUP(use_fish!B82,base_fish!A:A,base_fish!C:C)+_xlfn.IFNA(INDEX(activity!E:E,MATCH(use_fish!C82,activity!A:A,0)),0)</f>
        <v>100</v>
      </c>
      <c r="E82" s="2">
        <f t="shared" si="4"/>
        <v>0.01</v>
      </c>
      <c r="F82" s="2" t="s">
        <v>29</v>
      </c>
      <c r="G82" s="5" t="str">
        <f>INDEX(base_fish!E:E,MATCH(use_fish!B82,base_fish!A:A,0))&amp;_xlfn.IFNA("+"&amp;INDEX(activity!F:F,MATCH(use_fish!C82,activity!A:A,0)),"")</f>
        <v>黄金海龟+炸弹</v>
      </c>
    </row>
    <row r="83" spans="1:7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LOOKUP(use_fish!B83,base_fish!A:A,base_fish!C:C)+_xlfn.IFNA(INDEX(activity!E:E,MATCH(use_fish!C83,activity!A:A,0)),0)</f>
        <v>163</v>
      </c>
      <c r="E83" s="2">
        <f t="shared" ref="E83:E88" si="10">1/D83</f>
        <v>6.1349693251533744E-3</v>
      </c>
      <c r="F83" s="2" t="s">
        <v>29</v>
      </c>
      <c r="G83" s="5" t="str">
        <f>INDEX(base_fish!E:E,MATCH(use_fish!B83,base_fish!A:A,0))&amp;_xlfn.IFNA("+"&amp;INDEX(activity!F:F,MATCH(use_fish!C83,activity!A:A,0)),"")</f>
        <v>黄金灯笼鱼+威力提升</v>
      </c>
    </row>
    <row r="84" spans="1:7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LOOKUP(use_fish!B84,base_fish!A:A,base_fish!C:C)+_xlfn.IFNA(INDEX(activity!E:E,MATCH(use_fish!C84,activity!A:A,0)),0)</f>
        <v>163</v>
      </c>
      <c r="E84" s="2">
        <f t="shared" si="10"/>
        <v>6.1349693251533744E-3</v>
      </c>
      <c r="F84" s="2" t="s">
        <v>29</v>
      </c>
      <c r="G84" s="5" t="str">
        <f>INDEX(base_fish!E:E,MATCH(use_fish!B84,base_fish!A:A,0))&amp;_xlfn.IFNA("+"&amp;INDEX(activity!F:F,MATCH(use_fish!C84,activity!A:A,0)),"")</f>
        <v>黄金灯笼鱼+暴击时刻</v>
      </c>
    </row>
    <row r="85" spans="1:7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LOOKUP(use_fish!B85,base_fish!A:A,base_fish!C:C)+_xlfn.IFNA(INDEX(activity!E:E,MATCH(use_fish!C85,activity!A:A,0)),0)</f>
        <v>150</v>
      </c>
      <c r="E85" s="2">
        <f t="shared" si="10"/>
        <v>6.6666666666666671E-3</v>
      </c>
      <c r="F85" s="2" t="s">
        <v>29</v>
      </c>
      <c r="G85" s="5" t="str">
        <f>INDEX(base_fish!E:E,MATCH(use_fish!B85,base_fish!A:A,0))&amp;_xlfn.IFNA("+"&amp;INDEX(activity!F:F,MATCH(use_fish!C85,activity!A:A,0)),"")</f>
        <v>黄金灯笼鱼+闪电</v>
      </c>
    </row>
    <row r="86" spans="1:7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LOOKUP(use_fish!B86,base_fish!A:A,base_fish!C:C)+_xlfn.IFNA(INDEX(activity!E:E,MATCH(use_fish!C86,activity!A:A,0)),0)</f>
        <v>150</v>
      </c>
      <c r="E86" s="2">
        <f t="shared" si="10"/>
        <v>6.6666666666666671E-3</v>
      </c>
      <c r="F86" s="2" t="s">
        <v>29</v>
      </c>
      <c r="G86" s="5" t="str">
        <f>INDEX(base_fish!E:E,MATCH(use_fish!B86,base_fish!A:A,0))&amp;_xlfn.IFNA("+"&amp;INDEX(activity!F:F,MATCH(use_fish!C86,activity!A:A,0)),"")</f>
        <v>黄金灯笼鱼+免费子弹</v>
      </c>
    </row>
    <row r="87" spans="1:7" x14ac:dyDescent="0.2">
      <c r="A87" s="3">
        <v>86</v>
      </c>
      <c r="B87" s="3">
        <v>15</v>
      </c>
      <c r="C87" s="3">
        <v>10</v>
      </c>
      <c r="D87" s="2">
        <f>LOOKUP(use_fish!B87,base_fish!A:A,base_fish!C:C)+_xlfn.IFNA(INDEX(activity!E:E,MATCH(use_fish!C87,activity!A:A,0)),0)</f>
        <v>150</v>
      </c>
      <c r="E87" s="2">
        <f t="shared" si="10"/>
        <v>6.6666666666666671E-3</v>
      </c>
      <c r="F87" s="2" t="s">
        <v>29</v>
      </c>
      <c r="G87" s="5" t="str">
        <f>INDEX(base_fish!E:E,MATCH(use_fish!B87,base_fish!A:A,0))&amp;_xlfn.IFNA("+"&amp;INDEX(activity!F:F,MATCH(use_fish!C87,activity!A:A,0)),"")</f>
        <v>黄金灯笼鱼+闪电</v>
      </c>
    </row>
    <row r="88" spans="1:7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LOOKUP(use_fish!B88,base_fish!A:A,base_fish!C:C)+_xlfn.IFNA(INDEX(activity!E:E,MATCH(use_fish!C88,activity!A:A,0)),0)</f>
        <v>100</v>
      </c>
      <c r="E88" s="2">
        <f t="shared" si="10"/>
        <v>0.01</v>
      </c>
      <c r="F88" s="2" t="s">
        <v>29</v>
      </c>
      <c r="G88" s="5" t="str">
        <f>INDEX(base_fish!E:E,MATCH(use_fish!B88,base_fish!A:A,0))&amp;_xlfn.IFNA("+"&amp;INDEX(activity!F:F,MATCH(use_fish!C88,activity!A:A,0)),"")</f>
        <v>黄金灯笼鱼+锁定卡</v>
      </c>
    </row>
    <row r="89" spans="1:7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LOOKUP(use_fish!B89,base_fish!A:A,base_fish!C:C)+_xlfn.IFNA(INDEX(activity!E:E,MATCH(use_fish!C89,activity!A:A,0)),0)</f>
        <v>100</v>
      </c>
      <c r="E89" s="2">
        <f t="shared" si="4"/>
        <v>0.01</v>
      </c>
      <c r="F89" s="2" t="s">
        <v>29</v>
      </c>
      <c r="G89" s="5" t="str">
        <f>INDEX(base_fish!E:E,MATCH(use_fish!B89,base_fish!A:A,0))&amp;_xlfn.IFNA("+"&amp;INDEX(activity!F:F,MATCH(use_fish!C89,activity!A:A,0)),"")</f>
        <v>黄金灯笼鱼+冰冻卡</v>
      </c>
    </row>
    <row r="90" spans="1:7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LOOKUP(use_fish!B90,base_fish!A:A,base_fish!C:C)+_xlfn.IFNA(INDEX(activity!E:E,MATCH(use_fish!C90,activity!A:A,0)),0)</f>
        <v>100</v>
      </c>
      <c r="E90" s="2">
        <f t="shared" si="4"/>
        <v>0.01</v>
      </c>
      <c r="F90" s="2" t="s">
        <v>29</v>
      </c>
      <c r="G90" s="5" t="str">
        <f>INDEX(base_fish!E:E,MATCH(use_fish!B90,base_fish!A:A,0))&amp;_xlfn.IFNA("+"&amp;INDEX(activity!F:F,MATCH(use_fish!C90,activity!A:A,0)),"")</f>
        <v>黄金灯笼鱼+冰冻卡</v>
      </c>
    </row>
    <row r="91" spans="1:7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LOOKUP(use_fish!B91,base_fish!A:A,base_fish!C:C)+_xlfn.IFNA(INDEX(activity!E:E,MATCH(use_fish!C91,activity!A:A,0)),0)</f>
        <v>130</v>
      </c>
      <c r="E91" s="2">
        <f t="shared" si="4"/>
        <v>7.6923076923076927E-3</v>
      </c>
      <c r="F91" s="2" t="s">
        <v>29</v>
      </c>
      <c r="G91" s="5" t="str">
        <f>INDEX(base_fish!E:E,MATCH(use_fish!B91,base_fish!A:A,0))&amp;_xlfn.IFNA("+"&amp;INDEX(activity!F:F,MATCH(use_fish!C91,activity!A:A,0)),"")</f>
        <v>黄金灯笼鱼+炸弹</v>
      </c>
    </row>
    <row r="92" spans="1:7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LOOKUP(use_fish!B92,base_fish!A:A,base_fish!C:C)+_xlfn.IFNA(INDEX(activity!E:E,MATCH(use_fish!C92,activity!A:A,0)),0)</f>
        <v>120</v>
      </c>
      <c r="E92" s="2">
        <f t="shared" si="4"/>
        <v>8.3333333333333332E-3</v>
      </c>
      <c r="F92" s="2" t="s">
        <v>29</v>
      </c>
      <c r="G92" s="5" t="str">
        <f>INDEX(base_fish!E:E,MATCH(use_fish!B92,base_fish!A:A,0))&amp;_xlfn.IFNA("+"&amp;INDEX(activity!F:F,MATCH(use_fish!C92,activity!A:A,0)),"")</f>
        <v>黄金灯笼鱼+炸弹</v>
      </c>
    </row>
    <row r="93" spans="1:7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LOOKUP(use_fish!B93,base_fish!A:A,base_fish!C:C)+_xlfn.IFNA(INDEX(activity!E:E,MATCH(use_fish!C93,activity!A:A,0)),0)</f>
        <v>183</v>
      </c>
      <c r="E93" s="2">
        <f t="shared" ref="E93:E99" si="11">1/D93</f>
        <v>5.4644808743169399E-3</v>
      </c>
      <c r="F93" s="2" t="s">
        <v>29</v>
      </c>
      <c r="G93" s="5" t="str">
        <f>INDEX(base_fish!E:E,MATCH(use_fish!B93,base_fish!A:A,0))&amp;_xlfn.IFNA("+"&amp;INDEX(activity!F:F,MATCH(use_fish!C93,activity!A:A,0)),"")</f>
        <v>黄金魔鬼鱼+威力提升</v>
      </c>
    </row>
    <row r="94" spans="1:7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LOOKUP(use_fish!B94,base_fish!A:A,base_fish!C:C)+_xlfn.IFNA(INDEX(activity!E:E,MATCH(use_fish!C94,activity!A:A,0)),0)</f>
        <v>183</v>
      </c>
      <c r="E94" s="2">
        <f t="shared" si="11"/>
        <v>5.4644808743169399E-3</v>
      </c>
      <c r="F94" s="2" t="s">
        <v>29</v>
      </c>
      <c r="G94" s="5" t="str">
        <f>INDEX(base_fish!E:E,MATCH(use_fish!B94,base_fish!A:A,0))&amp;_xlfn.IFNA("+"&amp;INDEX(activity!F:F,MATCH(use_fish!C94,activity!A:A,0)),"")</f>
        <v>黄金魔鬼鱼+暴击时刻</v>
      </c>
    </row>
    <row r="95" spans="1:7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LOOKUP(use_fish!B95,base_fish!A:A,base_fish!C:C)+_xlfn.IFNA(INDEX(activity!E:E,MATCH(use_fish!C95,activity!A:A,0)),0)</f>
        <v>170</v>
      </c>
      <c r="E95" s="2">
        <f t="shared" si="11"/>
        <v>5.8823529411764705E-3</v>
      </c>
      <c r="F95" s="2" t="s">
        <v>29</v>
      </c>
      <c r="G95" s="5" t="str">
        <f>INDEX(base_fish!E:E,MATCH(use_fish!B95,base_fish!A:A,0))&amp;_xlfn.IFNA("+"&amp;INDEX(activity!F:F,MATCH(use_fish!C95,activity!A:A,0)),"")</f>
        <v>黄金魔鬼鱼+闪电</v>
      </c>
    </row>
    <row r="96" spans="1:7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LOOKUP(use_fish!B96,base_fish!A:A,base_fish!C:C)+_xlfn.IFNA(INDEX(activity!E:E,MATCH(use_fish!C96,activity!A:A,0)),0)</f>
        <v>170</v>
      </c>
      <c r="E96" s="2">
        <f t="shared" si="11"/>
        <v>5.8823529411764705E-3</v>
      </c>
      <c r="F96" s="2" t="s">
        <v>29</v>
      </c>
      <c r="G96" s="5" t="str">
        <f>INDEX(base_fish!E:E,MATCH(use_fish!B96,base_fish!A:A,0))&amp;_xlfn.IFNA("+"&amp;INDEX(activity!F:F,MATCH(use_fish!C96,activity!A:A,0)),"")</f>
        <v>黄金魔鬼鱼+免费子弹</v>
      </c>
    </row>
    <row r="97" spans="1:7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LOOKUP(use_fish!B97,base_fish!A:A,base_fish!C:C)+_xlfn.IFNA(INDEX(activity!E:E,MATCH(use_fish!C97,activity!A:A,0)),0)</f>
        <v>170</v>
      </c>
      <c r="E97" s="2">
        <f t="shared" si="11"/>
        <v>5.8823529411764705E-3</v>
      </c>
      <c r="F97" s="2" t="s">
        <v>29</v>
      </c>
      <c r="G97" s="5" t="str">
        <f>INDEX(base_fish!E:E,MATCH(use_fish!B97,base_fish!A:A,0))&amp;_xlfn.IFNA("+"&amp;INDEX(activity!F:F,MATCH(use_fish!C97,activity!A:A,0)),"")</f>
        <v>黄金魔鬼鱼+闪电</v>
      </c>
    </row>
    <row r="98" spans="1:7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LOOKUP(use_fish!B98,base_fish!A:A,base_fish!C:C)+_xlfn.IFNA(INDEX(activity!E:E,MATCH(use_fish!C98,activity!A:A,0)),0)</f>
        <v>120</v>
      </c>
      <c r="E98" s="2">
        <f t="shared" si="11"/>
        <v>8.3333333333333332E-3</v>
      </c>
      <c r="F98" s="2" t="s">
        <v>29</v>
      </c>
      <c r="G98" s="5" t="str">
        <f>INDEX(base_fish!E:E,MATCH(use_fish!B98,base_fish!A:A,0))&amp;_xlfn.IFNA("+"&amp;INDEX(activity!F:F,MATCH(use_fish!C98,activity!A:A,0)),"")</f>
        <v>黄金魔鬼鱼+锁定卡</v>
      </c>
    </row>
    <row r="99" spans="1:7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LOOKUP(use_fish!B99,base_fish!A:A,base_fish!C:C)+_xlfn.IFNA(INDEX(activity!E:E,MATCH(use_fish!C99,activity!A:A,0)),0)</f>
        <v>120</v>
      </c>
      <c r="E99" s="2">
        <f t="shared" si="11"/>
        <v>8.3333333333333332E-3</v>
      </c>
      <c r="F99" s="2" t="s">
        <v>29</v>
      </c>
      <c r="G99" s="5" t="str">
        <f>INDEX(base_fish!E:E,MATCH(use_fish!B99,base_fish!A:A,0))&amp;_xlfn.IFNA("+"&amp;INDEX(activity!F:F,MATCH(use_fish!C99,activity!A:A,0)),"")</f>
        <v>黄金魔鬼鱼+锁定卡</v>
      </c>
    </row>
    <row r="100" spans="1:7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LOOKUP(use_fish!B100,base_fish!A:A,base_fish!C:C)+_xlfn.IFNA(INDEX(activity!E:E,MATCH(use_fish!C100,activity!A:A,0)),0)</f>
        <v>120</v>
      </c>
      <c r="E100" s="2">
        <f t="shared" si="4"/>
        <v>8.3333333333333332E-3</v>
      </c>
      <c r="F100" s="2" t="s">
        <v>29</v>
      </c>
      <c r="G100" s="5" t="str">
        <f>INDEX(base_fish!E:E,MATCH(use_fish!B100,base_fish!A:A,0))&amp;_xlfn.IFNA("+"&amp;INDEX(activity!F:F,MATCH(use_fish!C100,activity!A:A,0)),"")</f>
        <v>黄金魔鬼鱼+冰冻卡</v>
      </c>
    </row>
    <row r="101" spans="1:7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LOOKUP(use_fish!B101,base_fish!A:A,base_fish!C:C)+_xlfn.IFNA(INDEX(activity!E:E,MATCH(use_fish!C101,activity!A:A,0)),0)</f>
        <v>150</v>
      </c>
      <c r="E101" s="2">
        <f t="shared" si="4"/>
        <v>6.6666666666666671E-3</v>
      </c>
      <c r="F101" s="2" t="s">
        <v>29</v>
      </c>
      <c r="G101" s="5" t="str">
        <f>INDEX(base_fish!E:E,MATCH(use_fish!B101,base_fish!A:A,0))&amp;_xlfn.IFNA("+"&amp;INDEX(activity!F:F,MATCH(use_fish!C101,activity!A:A,0)),"")</f>
        <v>黄金魔鬼鱼+炸弹</v>
      </c>
    </row>
    <row r="102" spans="1:7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LOOKUP(use_fish!B102,base_fish!A:A,base_fish!C:C)+_xlfn.IFNA(INDEX(activity!E:E,MATCH(use_fish!C102,activity!A:A,0)),0)</f>
        <v>140</v>
      </c>
      <c r="E102" s="2">
        <f t="shared" si="4"/>
        <v>7.1428571428571426E-3</v>
      </c>
      <c r="F102" s="2" t="s">
        <v>29</v>
      </c>
      <c r="G102" s="5" t="str">
        <f>INDEX(base_fish!E:E,MATCH(use_fish!B102,base_fish!A:A,0))&amp;_xlfn.IFNA("+"&amp;INDEX(activity!F:F,MATCH(use_fish!C102,activity!A:A,0)),"")</f>
        <v>黄金魔鬼鱼+炸弹</v>
      </c>
    </row>
    <row r="103" spans="1:7" x14ac:dyDescent="0.2">
      <c r="E103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8"/>
  <sheetViews>
    <sheetView workbookViewId="0">
      <selection activeCell="K19" sqref="K19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0" s="1" customFormat="1" ht="48.75" customHeight="1" x14ac:dyDescent="0.2">
      <c r="A1" s="1" t="s">
        <v>4</v>
      </c>
      <c r="B1" s="1" t="s">
        <v>5</v>
      </c>
      <c r="C1" s="1" t="s">
        <v>6</v>
      </c>
      <c r="D1" s="1" t="s">
        <v>7</v>
      </c>
      <c r="E1" s="1" t="s">
        <v>40</v>
      </c>
      <c r="F1" s="1" t="s">
        <v>56</v>
      </c>
      <c r="G1" s="1" t="s">
        <v>3</v>
      </c>
      <c r="H1" s="1" t="s">
        <v>3</v>
      </c>
      <c r="J1" s="1" t="s">
        <v>186</v>
      </c>
    </row>
    <row r="2" spans="1:10" x14ac:dyDescent="0.2">
      <c r="A2">
        <v>1</v>
      </c>
      <c r="B2">
        <v>1</v>
      </c>
      <c r="C2" t="s">
        <v>215</v>
      </c>
      <c r="D2" s="2">
        <v>0</v>
      </c>
      <c r="E2">
        <v>63</v>
      </c>
      <c r="F2" t="str">
        <f>LOOKUP(B2,G:G,H:H)</f>
        <v>免费子弹</v>
      </c>
      <c r="G2">
        <v>1</v>
      </c>
      <c r="H2" t="s">
        <v>57</v>
      </c>
      <c r="J2" t="s">
        <v>187</v>
      </c>
    </row>
    <row r="3" spans="1:10" x14ac:dyDescent="0.2">
      <c r="A3">
        <v>2</v>
      </c>
      <c r="B3">
        <v>2</v>
      </c>
      <c r="C3" t="s">
        <v>226</v>
      </c>
      <c r="D3" s="2">
        <v>0</v>
      </c>
      <c r="E3">
        <v>63</v>
      </c>
      <c r="F3" t="str">
        <f t="shared" ref="F3:F18" si="0">LOOKUP(B3,G:G,H:H)</f>
        <v>威力提升</v>
      </c>
      <c r="G3">
        <v>2</v>
      </c>
      <c r="H3" t="s">
        <v>58</v>
      </c>
    </row>
    <row r="4" spans="1:10" x14ac:dyDescent="0.2">
      <c r="A4">
        <v>3</v>
      </c>
      <c r="B4">
        <v>3</v>
      </c>
      <c r="C4" t="s">
        <v>225</v>
      </c>
      <c r="D4" s="2">
        <v>0</v>
      </c>
      <c r="E4">
        <v>63</v>
      </c>
      <c r="F4" t="str">
        <f t="shared" si="0"/>
        <v>暴击时刻</v>
      </c>
      <c r="G4">
        <v>3</v>
      </c>
      <c r="H4" t="s">
        <v>59</v>
      </c>
    </row>
    <row r="5" spans="1:10" x14ac:dyDescent="0.2">
      <c r="A5">
        <v>4</v>
      </c>
      <c r="B5">
        <v>4</v>
      </c>
      <c r="C5" t="s">
        <v>174</v>
      </c>
      <c r="D5" s="4">
        <v>1</v>
      </c>
      <c r="E5">
        <v>30</v>
      </c>
      <c r="F5" t="str">
        <f t="shared" si="0"/>
        <v>炸弹</v>
      </c>
      <c r="G5">
        <v>4</v>
      </c>
      <c r="H5" t="s">
        <v>60</v>
      </c>
    </row>
    <row r="6" spans="1:10" x14ac:dyDescent="0.2">
      <c r="A6">
        <v>5</v>
      </c>
      <c r="B6">
        <v>5</v>
      </c>
      <c r="C6" t="s">
        <v>175</v>
      </c>
      <c r="D6" s="4">
        <v>1</v>
      </c>
      <c r="E6">
        <v>50</v>
      </c>
      <c r="F6" t="str">
        <f t="shared" si="0"/>
        <v>闪电</v>
      </c>
      <c r="G6">
        <v>5</v>
      </c>
      <c r="H6" t="s">
        <v>61</v>
      </c>
    </row>
    <row r="7" spans="1:10" x14ac:dyDescent="0.2">
      <c r="A7">
        <v>6</v>
      </c>
      <c r="B7">
        <v>4</v>
      </c>
      <c r="C7" t="s">
        <v>176</v>
      </c>
      <c r="D7" s="4">
        <v>0</v>
      </c>
      <c r="E7">
        <v>20</v>
      </c>
      <c r="F7" t="str">
        <f t="shared" si="0"/>
        <v>炸弹</v>
      </c>
      <c r="G7">
        <v>6</v>
      </c>
      <c r="H7" t="s">
        <v>62</v>
      </c>
    </row>
    <row r="8" spans="1:10" x14ac:dyDescent="0.2">
      <c r="A8">
        <v>7</v>
      </c>
      <c r="B8">
        <v>1</v>
      </c>
      <c r="C8" t="s">
        <v>173</v>
      </c>
      <c r="D8" s="4">
        <v>0</v>
      </c>
      <c r="E8">
        <v>50</v>
      </c>
      <c r="F8" t="str">
        <f t="shared" si="0"/>
        <v>免费子弹</v>
      </c>
      <c r="G8">
        <v>7</v>
      </c>
      <c r="H8" t="s">
        <v>63</v>
      </c>
    </row>
    <row r="9" spans="1:10" x14ac:dyDescent="0.2">
      <c r="A9">
        <v>8</v>
      </c>
      <c r="B9">
        <v>4</v>
      </c>
      <c r="C9" t="s">
        <v>216</v>
      </c>
      <c r="D9" s="4">
        <v>0</v>
      </c>
      <c r="E9">
        <v>63</v>
      </c>
      <c r="F9" t="str">
        <f t="shared" si="0"/>
        <v>炸弹</v>
      </c>
      <c r="G9">
        <v>8</v>
      </c>
      <c r="H9" t="s">
        <v>64</v>
      </c>
    </row>
    <row r="10" spans="1:10" x14ac:dyDescent="0.2">
      <c r="A10">
        <v>9</v>
      </c>
      <c r="B10">
        <v>5</v>
      </c>
      <c r="C10" t="s">
        <v>217</v>
      </c>
      <c r="D10" s="4">
        <v>0</v>
      </c>
      <c r="E10">
        <v>63</v>
      </c>
      <c r="F10" t="str">
        <f t="shared" si="0"/>
        <v>闪电</v>
      </c>
    </row>
    <row r="11" spans="1:10" x14ac:dyDescent="0.2">
      <c r="A11">
        <v>10</v>
      </c>
      <c r="B11">
        <v>5</v>
      </c>
      <c r="C11" t="s">
        <v>177</v>
      </c>
      <c r="D11" s="4">
        <v>0</v>
      </c>
      <c r="E11">
        <v>50</v>
      </c>
      <c r="F11" t="str">
        <f t="shared" si="0"/>
        <v>闪电</v>
      </c>
    </row>
    <row r="12" spans="1:10" x14ac:dyDescent="0.2">
      <c r="A12">
        <v>11</v>
      </c>
      <c r="B12">
        <v>7</v>
      </c>
      <c r="C12" t="s">
        <v>54</v>
      </c>
      <c r="D12" s="4">
        <v>1</v>
      </c>
      <c r="E12">
        <v>0</v>
      </c>
      <c r="F12" t="str">
        <f t="shared" si="0"/>
        <v>锁定卡</v>
      </c>
    </row>
    <row r="13" spans="1:10" x14ac:dyDescent="0.2">
      <c r="A13">
        <v>12</v>
      </c>
      <c r="B13">
        <v>7</v>
      </c>
      <c r="C13" t="s">
        <v>65</v>
      </c>
      <c r="D13" s="4">
        <v>0</v>
      </c>
      <c r="E13">
        <v>0</v>
      </c>
      <c r="F13" t="str">
        <f t="shared" si="0"/>
        <v>锁定卡</v>
      </c>
    </row>
    <row r="14" spans="1:10" x14ac:dyDescent="0.2">
      <c r="A14">
        <v>13</v>
      </c>
      <c r="B14">
        <v>8</v>
      </c>
      <c r="C14" t="s">
        <v>50</v>
      </c>
      <c r="D14" s="4">
        <v>1</v>
      </c>
      <c r="E14">
        <v>0</v>
      </c>
      <c r="F14" t="str">
        <f t="shared" si="0"/>
        <v>冰冻卡</v>
      </c>
    </row>
    <row r="15" spans="1:10" x14ac:dyDescent="0.2">
      <c r="A15">
        <v>14</v>
      </c>
      <c r="B15">
        <v>8</v>
      </c>
      <c r="C15" t="s">
        <v>65</v>
      </c>
      <c r="D15" s="4">
        <v>0</v>
      </c>
      <c r="E15">
        <v>0</v>
      </c>
      <c r="F15" t="str">
        <f t="shared" si="0"/>
        <v>冰冻卡</v>
      </c>
    </row>
    <row r="16" spans="1:10" x14ac:dyDescent="0.2">
      <c r="A16">
        <v>15</v>
      </c>
      <c r="B16">
        <v>9</v>
      </c>
      <c r="C16" t="s">
        <v>273</v>
      </c>
      <c r="D16" s="4">
        <v>1</v>
      </c>
      <c r="E16">
        <v>10</v>
      </c>
      <c r="F16" t="str">
        <f t="shared" si="0"/>
        <v>冰冻卡</v>
      </c>
    </row>
    <row r="17" spans="1:6" x14ac:dyDescent="0.2">
      <c r="A17">
        <v>16</v>
      </c>
      <c r="B17">
        <v>9</v>
      </c>
      <c r="C17" t="s">
        <v>273</v>
      </c>
      <c r="D17" s="4">
        <v>0</v>
      </c>
      <c r="E17">
        <v>10</v>
      </c>
      <c r="F17" t="str">
        <f t="shared" si="0"/>
        <v>冰冻卡</v>
      </c>
    </row>
    <row r="18" spans="1:6" x14ac:dyDescent="0.2">
      <c r="A18">
        <v>17</v>
      </c>
      <c r="B18">
        <v>10</v>
      </c>
      <c r="C18" s="8" t="s">
        <v>274</v>
      </c>
      <c r="D18" s="4">
        <v>0</v>
      </c>
      <c r="E18">
        <v>80</v>
      </c>
      <c r="F18" t="str">
        <f t="shared" si="0"/>
        <v>冰冻卡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1"/>
  <sheetViews>
    <sheetView workbookViewId="0">
      <selection activeCell="B29" sqref="B29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</cols>
  <sheetData>
    <row r="1" spans="1:5" s="1" customFormat="1" ht="48.75" customHeight="1" x14ac:dyDescent="0.2">
      <c r="A1" s="1" t="s">
        <v>23</v>
      </c>
      <c r="B1" s="1" t="s">
        <v>21</v>
      </c>
      <c r="C1" s="1" t="s">
        <v>0</v>
      </c>
      <c r="D1" s="1" t="s">
        <v>1</v>
      </c>
      <c r="E1" s="1" t="s">
        <v>8</v>
      </c>
    </row>
    <row r="2" spans="1:5" x14ac:dyDescent="0.2">
      <c r="A2" s="3">
        <v>1</v>
      </c>
      <c r="B2" s="3">
        <v>1</v>
      </c>
      <c r="C2" s="2">
        <v>1</v>
      </c>
      <c r="D2" s="2">
        <f>1/C2</f>
        <v>1</v>
      </c>
      <c r="E2" s="5" t="s">
        <v>9</v>
      </c>
    </row>
    <row r="3" spans="1:5" x14ac:dyDescent="0.2">
      <c r="A3" s="3">
        <v>2</v>
      </c>
      <c r="B3" s="3">
        <v>1</v>
      </c>
      <c r="C3" s="2">
        <v>2</v>
      </c>
      <c r="D3" s="2">
        <f>1/C3</f>
        <v>0.5</v>
      </c>
      <c r="E3" s="5" t="s">
        <v>195</v>
      </c>
    </row>
    <row r="4" spans="1:5" x14ac:dyDescent="0.2">
      <c r="A4" s="3">
        <v>3</v>
      </c>
      <c r="B4" s="3">
        <v>1</v>
      </c>
      <c r="C4" s="2">
        <v>5</v>
      </c>
      <c r="D4" s="2">
        <f t="shared" ref="D4:D19" si="0">1/C4</f>
        <v>0.2</v>
      </c>
      <c r="E4" s="5" t="s">
        <v>196</v>
      </c>
    </row>
    <row r="5" spans="1:5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197</v>
      </c>
    </row>
    <row r="6" spans="1:5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10</v>
      </c>
    </row>
    <row r="7" spans="1:5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198</v>
      </c>
    </row>
    <row r="8" spans="1:5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11</v>
      </c>
    </row>
    <row r="9" spans="1:5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199</v>
      </c>
    </row>
    <row r="10" spans="1:5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12</v>
      </c>
    </row>
    <row r="11" spans="1:5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13</v>
      </c>
    </row>
    <row r="12" spans="1:5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200</v>
      </c>
    </row>
    <row r="13" spans="1:5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14</v>
      </c>
    </row>
    <row r="14" spans="1:5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201</v>
      </c>
    </row>
    <row r="15" spans="1:5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202</v>
      </c>
    </row>
    <row r="16" spans="1:5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203</v>
      </c>
    </row>
    <row r="17" spans="1:5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204</v>
      </c>
    </row>
    <row r="18" spans="1:5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205</v>
      </c>
    </row>
    <row r="19" spans="1:5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206</v>
      </c>
    </row>
    <row r="20" spans="1:5" x14ac:dyDescent="0.2">
      <c r="A20" s="3">
        <v>19</v>
      </c>
      <c r="B20" s="3">
        <v>4</v>
      </c>
      <c r="E20" s="5" t="s">
        <v>243</v>
      </c>
    </row>
    <row r="21" spans="1:5" x14ac:dyDescent="0.2">
      <c r="A21" s="3">
        <v>20</v>
      </c>
      <c r="B21" s="3">
        <v>3</v>
      </c>
      <c r="C21" s="2">
        <v>500</v>
      </c>
      <c r="D21" s="2">
        <f t="shared" ref="D21" si="1">1/C21</f>
        <v>2E-3</v>
      </c>
      <c r="E21" s="5" t="s">
        <v>275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9"/>
  <sheetViews>
    <sheetView topLeftCell="A22" workbookViewId="0">
      <selection activeCell="E51" sqref="E51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2</v>
      </c>
      <c r="B1" s="1" t="s">
        <v>185</v>
      </c>
      <c r="C1" s="1" t="s">
        <v>26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1"/>
  <sheetViews>
    <sheetView workbookViewId="0">
      <selection activeCell="D2" sqref="D2"/>
    </sheetView>
  </sheetViews>
  <sheetFormatPr defaultRowHeight="14.25" x14ac:dyDescent="0.2"/>
  <sheetData>
    <row r="1" spans="1:4" s="1" customFormat="1" ht="43.5" customHeight="1" x14ac:dyDescent="0.2">
      <c r="A1" s="1" t="s">
        <v>31</v>
      </c>
      <c r="B1" s="1" t="s">
        <v>39</v>
      </c>
      <c r="C1" s="1" t="s">
        <v>41</v>
      </c>
      <c r="D1" s="1" t="s">
        <v>218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9" sqref="E9"/>
    </sheetView>
  </sheetViews>
  <sheetFormatPr defaultRowHeight="14.25" x14ac:dyDescent="0.2"/>
  <sheetData>
    <row r="1" spans="1:2" s="1" customFormat="1" ht="39.75" customHeight="1" x14ac:dyDescent="0.2">
      <c r="A1" s="1" t="s">
        <v>42</v>
      </c>
      <c r="B1" s="1" t="s">
        <v>43</v>
      </c>
    </row>
    <row r="2" spans="1:2" x14ac:dyDescent="0.2">
      <c r="A2">
        <v>1</v>
      </c>
      <c r="B2">
        <v>10</v>
      </c>
    </row>
    <row r="3" spans="1:2" x14ac:dyDescent="0.2">
      <c r="A3">
        <v>2</v>
      </c>
      <c r="B3">
        <v>20</v>
      </c>
    </row>
    <row r="4" spans="1:2" x14ac:dyDescent="0.2">
      <c r="A4">
        <v>3</v>
      </c>
      <c r="B4">
        <v>30</v>
      </c>
    </row>
    <row r="5" spans="1:2" x14ac:dyDescent="0.2">
      <c r="A5">
        <v>4</v>
      </c>
      <c r="B5">
        <v>40</v>
      </c>
    </row>
    <row r="6" spans="1:2" x14ac:dyDescent="0.2">
      <c r="A6">
        <v>5</v>
      </c>
      <c r="B6">
        <v>50</v>
      </c>
    </row>
    <row r="7" spans="1:2" x14ac:dyDescent="0.2">
      <c r="A7">
        <v>6</v>
      </c>
      <c r="B7">
        <v>60</v>
      </c>
    </row>
    <row r="8" spans="1:2" x14ac:dyDescent="0.2">
      <c r="A8">
        <v>7</v>
      </c>
      <c r="B8">
        <v>70</v>
      </c>
    </row>
    <row r="9" spans="1:2" x14ac:dyDescent="0.2">
      <c r="A9">
        <v>8</v>
      </c>
      <c r="B9">
        <v>80</v>
      </c>
    </row>
    <row r="10" spans="1:2" x14ac:dyDescent="0.2">
      <c r="A10">
        <v>9</v>
      </c>
      <c r="B10">
        <v>90</v>
      </c>
    </row>
    <row r="11" spans="1:2" x14ac:dyDescent="0.2">
      <c r="A11">
        <v>10</v>
      </c>
      <c r="B11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25</v>
      </c>
      <c r="B1" s="1" t="s">
        <v>188</v>
      </c>
      <c r="C1" s="1" t="s">
        <v>189</v>
      </c>
      <c r="D1" s="1" t="s">
        <v>190</v>
      </c>
      <c r="XFD1" s="1"/>
    </row>
    <row r="2" spans="1:4 16384:16384" x14ac:dyDescent="0.2">
      <c r="A2">
        <v>1</v>
      </c>
      <c r="B2" t="s">
        <v>191</v>
      </c>
      <c r="C2">
        <v>10</v>
      </c>
      <c r="D2">
        <v>0</v>
      </c>
    </row>
    <row r="3" spans="1:4 16384:16384" x14ac:dyDescent="0.2">
      <c r="A3">
        <v>2</v>
      </c>
      <c r="B3" t="s">
        <v>192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E22" sqref="E22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25" style="3" customWidth="1"/>
    <col min="7" max="16384" width="9" style="3"/>
  </cols>
  <sheetData>
    <row r="1" spans="1:10 16384:16384" ht="36" customHeight="1" x14ac:dyDescent="0.2">
      <c r="A1" s="1" t="s">
        <v>244</v>
      </c>
      <c r="B1" s="1" t="s">
        <v>245</v>
      </c>
      <c r="C1" s="1" t="s">
        <v>246</v>
      </c>
      <c r="D1" s="1" t="s">
        <v>247</v>
      </c>
      <c r="E1" s="1" t="s">
        <v>248</v>
      </c>
      <c r="F1" s="1" t="s">
        <v>186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249</v>
      </c>
      <c r="C2" s="2"/>
      <c r="D2" s="2"/>
      <c r="F2" s="2"/>
    </row>
    <row r="3" spans="1:10 16384:16384" x14ac:dyDescent="0.2">
      <c r="A3" s="2">
        <v>2</v>
      </c>
      <c r="B3" s="2" t="s">
        <v>250</v>
      </c>
      <c r="C3" s="2" t="s">
        <v>251</v>
      </c>
      <c r="D3" s="2">
        <v>1</v>
      </c>
      <c r="E3">
        <v>5</v>
      </c>
      <c r="F3" s="2" t="s">
        <v>252</v>
      </c>
    </row>
    <row r="4" spans="1:10 16384:16384" x14ac:dyDescent="0.2">
      <c r="A4" s="2">
        <v>3</v>
      </c>
      <c r="B4" s="2" t="s">
        <v>253</v>
      </c>
      <c r="C4" s="2" t="s">
        <v>254</v>
      </c>
      <c r="D4" s="2">
        <v>1</v>
      </c>
      <c r="E4">
        <v>500000</v>
      </c>
      <c r="F4" s="2" t="s">
        <v>255</v>
      </c>
    </row>
    <row r="5" spans="1:10 16384:16384" x14ac:dyDescent="0.2">
      <c r="A5" s="2">
        <v>4</v>
      </c>
      <c r="B5" s="2" t="s">
        <v>250</v>
      </c>
      <c r="C5" s="2" t="s">
        <v>256</v>
      </c>
      <c r="D5" s="2">
        <v>1</v>
      </c>
      <c r="E5">
        <v>5000000</v>
      </c>
      <c r="F5" s="2" t="s">
        <v>257</v>
      </c>
    </row>
    <row r="6" spans="1:10 16384:16384" x14ac:dyDescent="0.2">
      <c r="A6" s="2">
        <v>5</v>
      </c>
      <c r="B6" s="2" t="s">
        <v>258</v>
      </c>
      <c r="C6" s="2" t="s">
        <v>254</v>
      </c>
      <c r="D6" s="2">
        <v>1</v>
      </c>
      <c r="E6">
        <v>50000000</v>
      </c>
      <c r="F6" s="2" t="s">
        <v>255</v>
      </c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B2" sqref="B2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259</v>
      </c>
      <c r="B1" s="1" t="s">
        <v>260</v>
      </c>
      <c r="C1" s="1" t="s">
        <v>261</v>
      </c>
      <c r="D1" s="1" t="s">
        <v>262</v>
      </c>
      <c r="E1" s="1" t="s">
        <v>263</v>
      </c>
      <c r="F1" s="1" t="s">
        <v>264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265</v>
      </c>
      <c r="D2" s="2">
        <v>0</v>
      </c>
      <c r="E2" s="2"/>
      <c r="F2" t="s">
        <v>266</v>
      </c>
    </row>
    <row r="3" spans="1:10 16384:16384" ht="39" customHeight="1" x14ac:dyDescent="0.2">
      <c r="A3" s="2">
        <v>2</v>
      </c>
      <c r="B3" s="2">
        <v>1</v>
      </c>
      <c r="C3" s="2" t="s">
        <v>267</v>
      </c>
      <c r="D3" s="2">
        <v>1</v>
      </c>
      <c r="E3" s="2" t="s">
        <v>268</v>
      </c>
      <c r="F3" t="s">
        <v>269</v>
      </c>
    </row>
    <row r="4" spans="1:10 16384:16384" ht="63.75" customHeight="1" x14ac:dyDescent="0.2">
      <c r="A4" s="2">
        <v>3</v>
      </c>
      <c r="B4" s="2">
        <v>1</v>
      </c>
      <c r="C4" s="2" t="s">
        <v>270</v>
      </c>
      <c r="D4" s="2">
        <v>0</v>
      </c>
      <c r="E4" s="4" t="s">
        <v>271</v>
      </c>
      <c r="F4" t="s">
        <v>272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profit</vt:lpstr>
      <vt:lpstr>wave</vt:lpstr>
      <vt:lpstr>random_wave</vt:lpstr>
      <vt:lpstr>image_cfg</vt:lpstr>
      <vt:lpstr>group</vt:lpstr>
      <vt:lpstr>use_fish</vt:lpstr>
      <vt:lpstr>activity</vt:lpstr>
      <vt:lpstr>base_fish</vt:lpstr>
      <vt:lpstr>path</vt:lpstr>
      <vt:lpstr>laser</vt:lpstr>
      <vt:lpstr>gun</vt:lpstr>
      <vt:lpstr>skill</vt:lpstr>
      <vt:lpstr>dead_mode</vt:lpstr>
      <vt:lpstr>box_fish_award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2019-06-22T07:21:12Z</dcterms:modified>
</cp:coreProperties>
</file>