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609" codeName="{51196F13-6AD0-C1B8-E2B4-A1F9AE17003E}"/>
  <workbookPr filterPrivacy="1" codeName="ThisWorkbook" autoCompressPictures="0"/>
  <xr:revisionPtr revIDLastSave="0" documentId="13_ncr:1_{4C5F3184-82D6-5644-B371-D52E85E4559B}" xr6:coauthVersionLast="43" xr6:coauthVersionMax="43" xr10:uidLastSave="{00000000-0000-0000-0000-000000000000}"/>
  <bookViews>
    <workbookView xWindow="-34760" yWindow="1000" windowWidth="32400" windowHeight="17080" activeTab="2" xr2:uid="{00000000-000D-0000-FFFF-FFFF00000000}"/>
  </bookViews>
  <sheets>
    <sheet name="profit" sheetId="17" r:id="rId1"/>
    <sheet name="wave" sheetId="26" r:id="rId2"/>
    <sheet name="random_wave" sheetId="30" r:id="rId3"/>
    <sheet name="image_cfg" sheetId="28" r:id="rId4"/>
    <sheet name="group" sheetId="7" r:id="rId5"/>
    <sheet name="use_fish" sheetId="14" r:id="rId6"/>
    <sheet name="activity" sheetId="5" r:id="rId7"/>
    <sheet name="base_fish" sheetId="1" r:id="rId8"/>
    <sheet name="path" sheetId="2" r:id="rId9"/>
    <sheet name="laser" sheetId="18" r:id="rId10"/>
    <sheet name="gun" sheetId="25" r:id="rId11"/>
    <sheet name="skill" sheetId="29" r:id="rId12"/>
    <sheet name="dead_mode" sheetId="31" r:id="rId13"/>
    <sheet name="box_fish_award" sheetId="32" r:id="rId14"/>
  </sheets>
  <externalReferences>
    <externalReference r:id="rId15"/>
    <externalReference r:id="rId16"/>
  </externalReferences>
  <definedNames>
    <definedName name="_xlnm._FilterDatabase" localSheetId="4" hidden="1">group!$H$1:$H$129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49" i="7" l="1"/>
  <c r="G122" i="14"/>
  <c r="D122" i="14"/>
  <c r="E122" i="14"/>
  <c r="D21" i="1"/>
  <c r="G121" i="14"/>
  <c r="E121" i="14"/>
  <c r="G120" i="14"/>
  <c r="E120" i="14"/>
  <c r="G119" i="14"/>
  <c r="E119" i="14"/>
  <c r="G118" i="14"/>
  <c r="D118" i="14"/>
  <c r="E118" i="14"/>
  <c r="G117" i="14"/>
  <c r="D117" i="14"/>
  <c r="E117" i="14"/>
  <c r="G116" i="14"/>
  <c r="D116" i="14"/>
  <c r="E116" i="14"/>
  <c r="G115" i="14"/>
  <c r="D115" i="14"/>
  <c r="E115" i="14"/>
  <c r="G114" i="14"/>
  <c r="D114" i="14"/>
  <c r="E114" i="14"/>
  <c r="G113" i="14"/>
  <c r="D113" i="14"/>
  <c r="E113" i="14"/>
  <c r="G112" i="14"/>
  <c r="D112" i="14"/>
  <c r="E112" i="14"/>
  <c r="G111" i="14"/>
  <c r="D111" i="14"/>
  <c r="E111" i="14"/>
  <c r="G110" i="14"/>
  <c r="D110" i="14"/>
  <c r="E110" i="14"/>
  <c r="G109" i="14"/>
  <c r="D109" i="14"/>
  <c r="E109" i="14"/>
  <c r="G108" i="14"/>
  <c r="D108" i="14"/>
  <c r="E108" i="14"/>
  <c r="G107" i="14"/>
  <c r="D107" i="14"/>
  <c r="E107" i="14"/>
  <c r="G106" i="14"/>
  <c r="D106" i="14"/>
  <c r="E106" i="14"/>
  <c r="G105" i="14"/>
  <c r="D105" i="14"/>
  <c r="E105" i="14"/>
  <c r="G104" i="14"/>
  <c r="D104" i="14"/>
  <c r="E104" i="14"/>
  <c r="G103" i="14"/>
  <c r="D103" i="14"/>
  <c r="E103" i="14"/>
  <c r="G102" i="14"/>
  <c r="D102" i="14"/>
  <c r="E102" i="14"/>
  <c r="G101" i="14"/>
  <c r="D101" i="14"/>
  <c r="E101" i="14"/>
  <c r="G100" i="14"/>
  <c r="D100" i="14"/>
  <c r="E100" i="14"/>
  <c r="G99" i="14"/>
  <c r="D99" i="14"/>
  <c r="E99" i="14"/>
  <c r="G98" i="14"/>
  <c r="D98" i="14"/>
  <c r="E98" i="14"/>
  <c r="G97" i="14"/>
  <c r="D97" i="14"/>
  <c r="E97" i="14"/>
  <c r="G96" i="14"/>
  <c r="D96" i="14"/>
  <c r="E96" i="14"/>
  <c r="G95" i="14"/>
  <c r="D95" i="14"/>
  <c r="E95" i="14"/>
  <c r="G94" i="14"/>
  <c r="D94" i="14"/>
  <c r="E94" i="14"/>
  <c r="G93" i="14"/>
  <c r="D93" i="14"/>
  <c r="E93" i="14"/>
  <c r="G92" i="14"/>
  <c r="D92" i="14"/>
  <c r="E92" i="14"/>
  <c r="G91" i="14"/>
  <c r="D91" i="14"/>
  <c r="E91" i="14"/>
  <c r="G90" i="14"/>
  <c r="D90" i="14"/>
  <c r="E90" i="14"/>
  <c r="G89" i="14"/>
  <c r="D89" i="14"/>
  <c r="E89" i="14"/>
  <c r="G88" i="14"/>
  <c r="D88" i="14"/>
  <c r="E88" i="14"/>
  <c r="G87" i="14"/>
  <c r="D87" i="14"/>
  <c r="E87" i="14"/>
  <c r="G86" i="14"/>
  <c r="D86" i="14"/>
  <c r="E86" i="14"/>
  <c r="G85" i="14"/>
  <c r="D85" i="14"/>
  <c r="E85" i="14"/>
  <c r="G84" i="14"/>
  <c r="D84" i="14"/>
  <c r="E84" i="14"/>
  <c r="G83" i="14"/>
  <c r="D83" i="14"/>
  <c r="E83" i="14"/>
  <c r="G82" i="14"/>
  <c r="D82" i="14"/>
  <c r="E82" i="14"/>
  <c r="G81" i="14"/>
  <c r="D81" i="14"/>
  <c r="E81" i="14"/>
  <c r="G80" i="14"/>
  <c r="D80" i="14"/>
  <c r="E80" i="14"/>
  <c r="G79" i="14"/>
  <c r="D79" i="14"/>
  <c r="E79" i="14"/>
  <c r="G78" i="14"/>
  <c r="D78" i="14"/>
  <c r="E78" i="14"/>
  <c r="G77" i="14"/>
  <c r="D77" i="14"/>
  <c r="E77" i="14"/>
  <c r="G76" i="14"/>
  <c r="D76" i="14"/>
  <c r="E76" i="14"/>
  <c r="G75" i="14"/>
  <c r="D75" i="14"/>
  <c r="E75" i="14"/>
  <c r="G74" i="14"/>
  <c r="D74" i="14"/>
  <c r="E74" i="14"/>
  <c r="G73" i="14"/>
  <c r="D73" i="14"/>
  <c r="E73" i="14"/>
  <c r="G72" i="14"/>
  <c r="D72" i="14"/>
  <c r="E72" i="14"/>
  <c r="G71" i="14"/>
  <c r="D71" i="14"/>
  <c r="E71" i="14"/>
  <c r="G70" i="14"/>
  <c r="D70" i="14"/>
  <c r="E70" i="14"/>
  <c r="G69" i="14"/>
  <c r="D69" i="14"/>
  <c r="E69" i="14"/>
  <c r="G68" i="14"/>
  <c r="D68" i="14"/>
  <c r="E68" i="14"/>
  <c r="G67" i="14"/>
  <c r="D67" i="14"/>
  <c r="E67" i="14"/>
  <c r="G66" i="14"/>
  <c r="D66" i="14"/>
  <c r="E66" i="14"/>
  <c r="G65" i="14"/>
  <c r="D65" i="14"/>
  <c r="E65" i="14"/>
  <c r="G64" i="14"/>
  <c r="D64" i="14"/>
  <c r="E64" i="14"/>
  <c r="G63" i="14"/>
  <c r="D63" i="14"/>
  <c r="E63" i="14"/>
  <c r="G62" i="14"/>
  <c r="D62" i="14"/>
  <c r="E62" i="14"/>
  <c r="G61" i="14"/>
  <c r="D61" i="14"/>
  <c r="E61" i="14"/>
  <c r="G60" i="14"/>
  <c r="D60" i="14"/>
  <c r="E60" i="14"/>
  <c r="G59" i="14"/>
  <c r="D59" i="14"/>
  <c r="E59" i="14"/>
  <c r="G58" i="14"/>
  <c r="D58" i="14"/>
  <c r="E58" i="14"/>
  <c r="G57" i="14"/>
  <c r="D57" i="14"/>
  <c r="E57" i="14"/>
  <c r="G56" i="14"/>
  <c r="D56" i="14"/>
  <c r="E56" i="14"/>
  <c r="G55" i="14"/>
  <c r="D55" i="14"/>
  <c r="E55" i="14"/>
  <c r="G54" i="14"/>
  <c r="D54" i="14"/>
  <c r="E54" i="14"/>
  <c r="G53" i="14"/>
  <c r="D53" i="14"/>
  <c r="E53" i="14"/>
  <c r="G52" i="14"/>
  <c r="D52" i="14"/>
  <c r="E52" i="14"/>
  <c r="G51" i="14"/>
  <c r="D51" i="14"/>
  <c r="E51" i="14"/>
  <c r="G50" i="14"/>
  <c r="D50" i="14"/>
  <c r="E50" i="14"/>
  <c r="G49" i="14"/>
  <c r="D49" i="14"/>
  <c r="E49" i="14"/>
  <c r="G48" i="14"/>
  <c r="D48" i="14"/>
  <c r="E48" i="14"/>
  <c r="G47" i="14"/>
  <c r="D47" i="14"/>
  <c r="E47" i="14"/>
  <c r="G46" i="14"/>
  <c r="D46" i="14"/>
  <c r="E46" i="14"/>
  <c r="G45" i="14"/>
  <c r="D45" i="14"/>
  <c r="E45" i="14"/>
  <c r="G44" i="14"/>
  <c r="D44" i="14"/>
  <c r="E44" i="14"/>
  <c r="G43" i="14"/>
  <c r="D43" i="14"/>
  <c r="E43" i="14"/>
  <c r="G42" i="14"/>
  <c r="D42" i="14"/>
  <c r="E42" i="14"/>
  <c r="G41" i="14"/>
  <c r="D41" i="14"/>
  <c r="E41" i="14"/>
  <c r="G40" i="14"/>
  <c r="D40" i="14"/>
  <c r="E40" i="14"/>
  <c r="G39" i="14"/>
  <c r="D39" i="14"/>
  <c r="E39" i="14"/>
  <c r="G38" i="14"/>
  <c r="D38" i="14"/>
  <c r="E38" i="14"/>
  <c r="G37" i="14"/>
  <c r="D37" i="14"/>
  <c r="E37" i="14"/>
  <c r="G36" i="14"/>
  <c r="D36" i="14"/>
  <c r="E36" i="14"/>
  <c r="G35" i="14"/>
  <c r="D35" i="14"/>
  <c r="E35" i="14"/>
  <c r="G34" i="14"/>
  <c r="D34" i="14"/>
  <c r="E34" i="14"/>
  <c r="G33" i="14"/>
  <c r="D33" i="14"/>
  <c r="E33" i="14"/>
  <c r="G32" i="14"/>
  <c r="D32" i="14"/>
  <c r="E32" i="14"/>
  <c r="G31" i="14"/>
  <c r="D31" i="14"/>
  <c r="E31" i="14"/>
  <c r="G30" i="14"/>
  <c r="D30" i="14"/>
  <c r="E30" i="14"/>
  <c r="G29" i="14"/>
  <c r="D29" i="14"/>
  <c r="E29" i="14"/>
  <c r="G28" i="14"/>
  <c r="D28" i="14"/>
  <c r="E28" i="14"/>
  <c r="G27" i="14"/>
  <c r="D27" i="14"/>
  <c r="E27" i="14"/>
  <c r="G26" i="14"/>
  <c r="D26" i="14"/>
  <c r="E26" i="14"/>
  <c r="G25" i="14"/>
  <c r="D25" i="14"/>
  <c r="E25" i="14"/>
  <c r="G24" i="14"/>
  <c r="D24" i="14"/>
  <c r="E24" i="14"/>
  <c r="G23" i="14"/>
  <c r="D23" i="14"/>
  <c r="E23" i="14"/>
  <c r="G22" i="14"/>
  <c r="D22" i="14"/>
  <c r="E22" i="14"/>
  <c r="G21" i="14"/>
  <c r="D21" i="14"/>
  <c r="E21" i="14"/>
  <c r="G20" i="14"/>
  <c r="D20" i="14"/>
  <c r="E20" i="14"/>
  <c r="G19" i="14"/>
  <c r="D19" i="14"/>
  <c r="E19" i="14"/>
  <c r="G18" i="14"/>
  <c r="D18" i="14"/>
  <c r="E18" i="14"/>
  <c r="G17" i="14"/>
  <c r="D17" i="14"/>
  <c r="E17" i="14"/>
  <c r="G16" i="14"/>
  <c r="D16" i="14"/>
  <c r="E16" i="14"/>
  <c r="G15" i="14"/>
  <c r="D15" i="14"/>
  <c r="E15" i="14"/>
  <c r="G14" i="14"/>
  <c r="D14" i="14"/>
  <c r="E14" i="14"/>
  <c r="G13" i="14"/>
  <c r="D13" i="14"/>
  <c r="E13" i="14"/>
  <c r="G12" i="14"/>
  <c r="D12" i="14"/>
  <c r="E12" i="14"/>
  <c r="G11" i="14"/>
  <c r="D11" i="14"/>
  <c r="E11" i="14"/>
  <c r="G10" i="14"/>
  <c r="D10" i="14"/>
  <c r="E10" i="14"/>
  <c r="G9" i="14"/>
  <c r="D9" i="14"/>
  <c r="E9" i="14"/>
  <c r="G8" i="14"/>
  <c r="D8" i="14"/>
  <c r="E8" i="14"/>
  <c r="G7" i="14"/>
  <c r="D7" i="14"/>
  <c r="E7" i="14"/>
  <c r="G6" i="14"/>
  <c r="D6" i="14"/>
  <c r="E6" i="14"/>
  <c r="G5" i="14"/>
  <c r="D5" i="14"/>
  <c r="E5" i="14"/>
  <c r="G4" i="14"/>
  <c r="D4" i="14"/>
  <c r="E4" i="14"/>
  <c r="G3" i="14"/>
  <c r="D3" i="14"/>
  <c r="E3" i="14"/>
  <c r="G2" i="14"/>
  <c r="D2" i="14"/>
  <c r="E2" i="14"/>
  <c r="F18" i="5"/>
  <c r="G2" i="30"/>
  <c r="F2" i="30"/>
  <c r="H145" i="7"/>
  <c r="H144" i="7"/>
  <c r="H143" i="7"/>
  <c r="H142" i="7"/>
  <c r="H141" i="7"/>
  <c r="H140" i="7"/>
  <c r="H139" i="7"/>
  <c r="H138" i="7"/>
  <c r="H137" i="7"/>
  <c r="H136" i="7"/>
  <c r="H135" i="7"/>
  <c r="H134" i="7"/>
  <c r="H133" i="7"/>
  <c r="F17" i="5"/>
  <c r="H132" i="7"/>
  <c r="H131" i="7"/>
  <c r="H130" i="7"/>
  <c r="F16" i="5"/>
  <c r="H18" i="7"/>
  <c r="H17" i="7"/>
  <c r="H16" i="7"/>
  <c r="H15" i="7"/>
  <c r="H14" i="7"/>
  <c r="H13" i="7"/>
  <c r="D3" i="18"/>
  <c r="D4" i="18"/>
  <c r="D5" i="18"/>
  <c r="D6" i="18"/>
  <c r="D7" i="18"/>
  <c r="D8" i="18"/>
  <c r="D9" i="18"/>
  <c r="D10" i="18"/>
  <c r="D11" i="18"/>
  <c r="D2" i="18"/>
  <c r="H117" i="7"/>
  <c r="H118" i="7"/>
  <c r="H119" i="7"/>
  <c r="H120" i="7"/>
  <c r="H121" i="7"/>
  <c r="H122" i="7"/>
  <c r="H123" i="7"/>
  <c r="H124" i="7"/>
  <c r="H125" i="7"/>
  <c r="H126" i="7"/>
  <c r="H127" i="7"/>
  <c r="H128" i="7"/>
  <c r="H129" i="7"/>
  <c r="H26" i="7"/>
  <c r="H27" i="7"/>
  <c r="H28" i="7"/>
  <c r="H29" i="7"/>
  <c r="H30" i="7"/>
  <c r="H31" i="7"/>
  <c r="H32" i="7"/>
  <c r="H33" i="7"/>
  <c r="H34" i="7"/>
  <c r="H35" i="7"/>
  <c r="H36" i="7"/>
  <c r="H37" i="7"/>
  <c r="H43" i="7"/>
  <c r="H44" i="7"/>
  <c r="H45" i="7"/>
  <c r="H46" i="7"/>
  <c r="H51" i="7"/>
  <c r="H52" i="7"/>
  <c r="H53" i="7"/>
  <c r="H54" i="7"/>
  <c r="H55" i="7"/>
  <c r="H60" i="7"/>
  <c r="H61" i="7"/>
  <c r="H63" i="7"/>
  <c r="H64" i="7"/>
  <c r="H69" i="7"/>
  <c r="H70" i="7"/>
  <c r="H71" i="7"/>
  <c r="H72" i="7"/>
  <c r="H73" i="7"/>
  <c r="H74" i="7"/>
  <c r="H75" i="7"/>
  <c r="H78" i="7"/>
  <c r="H79" i="7"/>
  <c r="H80" i="7"/>
  <c r="H81" i="7"/>
  <c r="H82" i="7"/>
  <c r="H83" i="7"/>
  <c r="H84" i="7"/>
  <c r="H85" i="7"/>
  <c r="H86" i="7"/>
  <c r="H87" i="7"/>
  <c r="H88" i="7"/>
  <c r="H89" i="7"/>
  <c r="H90" i="7"/>
  <c r="H92" i="7"/>
  <c r="H94" i="7"/>
  <c r="H95" i="7"/>
  <c r="H96" i="7"/>
  <c r="H97" i="7"/>
  <c r="H100" i="7"/>
  <c r="H101" i="7"/>
  <c r="H102" i="7"/>
  <c r="H103" i="7"/>
  <c r="H104" i="7"/>
  <c r="H105" i="7"/>
  <c r="H106" i="7"/>
  <c r="H111" i="7"/>
  <c r="H112" i="7"/>
  <c r="H113" i="7"/>
  <c r="H114" i="7"/>
  <c r="H115" i="7"/>
  <c r="H116" i="7"/>
  <c r="F3" i="5"/>
  <c r="F4" i="5"/>
  <c r="F6" i="5"/>
  <c r="F8" i="5"/>
  <c r="F11" i="5"/>
  <c r="F13" i="5"/>
  <c r="F15" i="5"/>
  <c r="F5" i="5"/>
  <c r="F7" i="5"/>
  <c r="F14" i="5"/>
  <c r="F12" i="5"/>
  <c r="K5" i="7" a="1"/>
  <c r="K5" i="7"/>
  <c r="K10" i="7" a="1"/>
  <c r="K10" i="7"/>
  <c r="K4" i="7" a="1"/>
  <c r="K4" i="7"/>
  <c r="F2" i="5"/>
  <c r="K6" i="7" a="1"/>
  <c r="K6" i="7"/>
  <c r="K7" i="7" a="1"/>
  <c r="K7" i="7"/>
  <c r="K8" i="7" a="1"/>
  <c r="K8" i="7"/>
  <c r="K9" i="7" a="1"/>
  <c r="K9" i="7"/>
  <c r="K11" i="7" a="1"/>
  <c r="K11" i="7"/>
  <c r="K12" i="7" a="1"/>
  <c r="K12" i="7"/>
  <c r="K19" i="7" a="1"/>
  <c r="K19" i="7"/>
  <c r="K20" i="7" a="1"/>
  <c r="K20" i="7"/>
  <c r="K21" i="7" a="1"/>
  <c r="K21" i="7"/>
  <c r="K22" i="7" a="1"/>
  <c r="K22" i="7"/>
  <c r="K23" i="7" a="1"/>
  <c r="K23" i="7"/>
  <c r="K24" i="7" a="1"/>
  <c r="K24" i="7"/>
  <c r="K25" i="7" a="1"/>
  <c r="K25" i="7"/>
  <c r="K26" i="7" a="1"/>
  <c r="K26" i="7"/>
  <c r="K27" i="7" a="1"/>
  <c r="K27" i="7"/>
  <c r="K30" i="7" a="1"/>
  <c r="K30" i="7"/>
  <c r="K41" i="7" a="1"/>
  <c r="K41" i="7"/>
  <c r="K75" i="7" a="1"/>
  <c r="K75" i="7"/>
  <c r="K42" i="7" a="1"/>
  <c r="K42" i="7"/>
  <c r="K76" i="7" a="1"/>
  <c r="K76" i="7"/>
  <c r="K77" i="7" a="1"/>
  <c r="K77" i="7"/>
  <c r="K31" i="7" a="1"/>
  <c r="K31" i="7"/>
  <c r="K43" i="7" a="1"/>
  <c r="K43" i="7"/>
  <c r="K44" i="7" a="1"/>
  <c r="K44" i="7"/>
  <c r="K84" i="7" a="1"/>
  <c r="K84" i="7"/>
  <c r="F9" i="5"/>
  <c r="F10" i="5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3" i="1"/>
  <c r="D2" i="1"/>
  <c r="H107" i="7"/>
  <c r="H108" i="7"/>
  <c r="H99" i="7"/>
  <c r="H98" i="7"/>
  <c r="H58" i="7"/>
  <c r="H59" i="7"/>
  <c r="H47" i="7"/>
  <c r="H48" i="7"/>
  <c r="H23" i="7"/>
  <c r="H19" i="7"/>
  <c r="H93" i="7"/>
  <c r="H77" i="7"/>
  <c r="H76" i="7"/>
  <c r="H67" i="7"/>
  <c r="H68" i="7"/>
  <c r="H62" i="7"/>
  <c r="H57" i="7"/>
  <c r="H56" i="7"/>
  <c r="H41" i="7"/>
  <c r="H38" i="7"/>
  <c r="H42" i="7"/>
  <c r="H40" i="7"/>
  <c r="H39" i="7"/>
  <c r="H22" i="7"/>
  <c r="H3" i="7"/>
  <c r="H8" i="7"/>
  <c r="H9" i="7"/>
  <c r="H65" i="7"/>
  <c r="H66" i="7"/>
  <c r="H25" i="7"/>
  <c r="H21" i="7"/>
  <c r="H7" i="7"/>
  <c r="H12" i="7"/>
  <c r="H6" i="7"/>
  <c r="H109" i="7"/>
  <c r="H110" i="7"/>
  <c r="H91" i="7"/>
  <c r="H49" i="7"/>
  <c r="H50" i="7"/>
  <c r="H24" i="7"/>
  <c r="H20" i="7"/>
  <c r="H11" i="7"/>
  <c r="H4" i="7"/>
  <c r="H5" i="7"/>
  <c r="H10" i="7"/>
  <c r="H2" i="7"/>
</calcChain>
</file>

<file path=xl/sharedStrings.xml><?xml version="1.0" encoding="utf-8"?>
<sst xmlns="http://schemas.openxmlformats.org/spreadsheetml/2006/main" count="500" uniqueCount="298">
  <si>
    <t>rate|倍率</t>
    <phoneticPr fontId="1" type="noConversion"/>
  </si>
  <si>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</si>
  <si>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</si>
  <si>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</si>
  <si>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</si>
  <si>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</si>
  <si>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</si>
  <si>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</si>
  <si>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</si>
  <si>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小黄鱼</t>
  </si>
  <si>
    <t>小丑鱼</t>
  </si>
  <si>
    <t>红杉鱼</t>
  </si>
  <si>
    <t>灯笼鱼</t>
  </si>
  <si>
    <t>魔鬼鱼</t>
  </si>
  <si>
    <t>锤头鲨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</si>
  <si>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</si>
  <si>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</si>
  <si>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</si>
  <si>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</si>
  <si>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</si>
  <si>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path|一网打尽时路径</t>
    <phoneticPr fontId="1" type="noConversion"/>
  </si>
  <si>
    <t>type|鱼类型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</si>
  <si>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</si>
  <si>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</si>
  <si>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</si>
  <si>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</si>
  <si>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activity</t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</si>
  <si>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</si>
  <si>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</si>
  <si>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</si>
  <si>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</si>
  <si>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</si>
  <si>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</si>
  <si>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</si>
  <si>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</si>
  <si>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</si>
  <si>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</si>
  <si>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</si>
  <si>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</si>
  <si>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</si>
  <si>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</si>
  <si>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</si>
  <si>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</si>
  <si>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</si>
  <si>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</si>
  <si>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</si>
  <si>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</si>
  <si>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3,</t>
    <phoneticPr fontId="1" type="noConversion"/>
  </si>
  <si>
    <t>fish_type|鱼类型,1A群鱼   2B群鱼  3敢死队  4一网打尽</t>
    <phoneticPr fontId="1" type="noConversion"/>
  </si>
  <si>
    <t>6,</t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</si>
  <si>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</si>
  <si>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</si>
  <si>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</si>
  <si>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</si>
  <si>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</si>
  <si>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</si>
  <si>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</si>
  <si>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</si>
  <si>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</si>
  <si>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</si>
  <si>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</si>
  <si>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</si>
  <si>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2,</t>
    <phoneticPr fontId="1" type="noConversion"/>
  </si>
  <si>
    <t>3,</t>
    <phoneticPr fontId="1" type="noConversion"/>
  </si>
  <si>
    <t>4,</t>
    <phoneticPr fontId="1" type="noConversion"/>
  </si>
  <si>
    <t>7,</t>
  </si>
  <si>
    <t>8,</t>
  </si>
  <si>
    <t>9,</t>
  </si>
  <si>
    <t>10,</t>
  </si>
  <si>
    <t>11,</t>
  </si>
  <si>
    <t>12,</t>
  </si>
  <si>
    <t>14,</t>
  </si>
  <si>
    <t>15,</t>
  </si>
  <si>
    <t>16,</t>
  </si>
  <si>
    <t>17,</t>
  </si>
  <si>
    <t>18,</t>
  </si>
  <si>
    <t>19,</t>
  </si>
  <si>
    <t>20,</t>
  </si>
  <si>
    <t>21,</t>
  </si>
  <si>
    <t>22,</t>
  </si>
  <si>
    <t>23,</t>
  </si>
  <si>
    <t>24,</t>
  </si>
  <si>
    <t>25,</t>
  </si>
  <si>
    <t>26,</t>
  </si>
  <si>
    <t>27,</t>
  </si>
  <si>
    <t>28,</t>
  </si>
  <si>
    <t>29,</t>
  </si>
  <si>
    <t>30,</t>
  </si>
  <si>
    <t>31,</t>
  </si>
  <si>
    <t>32,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</si>
  <si>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</si>
  <si>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</si>
  <si>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</si>
  <si>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</si>
  <si>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</si>
  <si>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</si>
  <si>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</si>
  <si>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</si>
  <si>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</si>
  <si>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</si>
  <si>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</si>
  <si>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</si>
  <si>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</si>
  <si>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46,</t>
  </si>
  <si>
    <t>47,</t>
  </si>
  <si>
    <t>48,</t>
  </si>
  <si>
    <t>49,</t>
  </si>
  <si>
    <t>50,</t>
  </si>
  <si>
    <t>51,</t>
  </si>
  <si>
    <t>52,</t>
  </si>
  <si>
    <t>53,</t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</si>
  <si>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</si>
  <si>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</si>
  <si>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</si>
  <si>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</si>
  <si>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</si>
  <si>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</si>
  <si>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</si>
  <si>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</si>
  <si>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</si>
  <si>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</si>
  <si>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</si>
  <si>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</si>
  <si>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</si>
  <si>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</si>
  <si>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</si>
  <si>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</si>
  <si>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</si>
  <si>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</si>
  <si>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</si>
  <si>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</si>
  <si>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</si>
  <si>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</si>
  <si>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</si>
  <si>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</si>
  <si>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</si>
  <si>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79,</t>
  </si>
  <si>
    <t>80,</t>
  </si>
  <si>
    <t>81,</t>
  </si>
  <si>
    <t>82,</t>
  </si>
  <si>
    <t>83,</t>
  </si>
  <si>
    <t>84,</t>
  </si>
  <si>
    <t>85,</t>
  </si>
  <si>
    <t>86,</t>
  </si>
  <si>
    <t>87,</t>
  </si>
  <si>
    <t>88,</t>
  </si>
  <si>
    <t>89,</t>
  </si>
  <si>
    <t>90,</t>
  </si>
  <si>
    <t>91,</t>
  </si>
  <si>
    <t>92,</t>
  </si>
  <si>
    <t>93,</t>
  </si>
  <si>
    <t>94,</t>
  </si>
  <si>
    <t>95,</t>
  </si>
  <si>
    <t>96,</t>
  </si>
  <si>
    <t>97,</t>
  </si>
  <si>
    <t>98,</t>
  </si>
  <si>
    <t>99,</t>
  </si>
  <si>
    <t>100,</t>
  </si>
  <si>
    <t>101,</t>
  </si>
  <si>
    <t>5,8,11</t>
    <phoneticPr fontId="1" type="noConversion"/>
  </si>
  <si>
    <t>1,7,14</t>
    <phoneticPr fontId="1" type="noConversion"/>
  </si>
  <si>
    <t>2,8,15</t>
    <phoneticPr fontId="1" type="noConversion"/>
  </si>
  <si>
    <t>3,9,16</t>
    <phoneticPr fontId="1" type="noConversion"/>
  </si>
  <si>
    <t>4,10,17</t>
    <phoneticPr fontId="1" type="noConversion"/>
  </si>
  <si>
    <t>2,8,15,22</t>
    <phoneticPr fontId="1" type="noConversion"/>
  </si>
  <si>
    <t>4,10,17,24</t>
    <phoneticPr fontId="1" type="noConversion"/>
  </si>
  <si>
    <t>|辅助</t>
    <phoneticPr fontId="1" type="noConversion"/>
  </si>
  <si>
    <t>rate|倍率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</si>
  <si>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</si>
  <si>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</si>
  <si>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</si>
  <si>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20,</t>
    <phoneticPr fontId="1" type="noConversion"/>
  </si>
  <si>
    <t>50,</t>
    <phoneticPr fontId="1" type="noConversion"/>
  </si>
  <si>
    <t>3,</t>
    <phoneticPr fontId="1" type="noConversion"/>
  </si>
  <si>
    <t>5,</t>
    <phoneticPr fontId="1" type="noConversion"/>
  </si>
  <si>
    <t>2,</t>
    <phoneticPr fontId="1" type="noConversion"/>
  </si>
  <si>
    <t>2,</t>
    <phoneticPr fontId="1" type="noConversion"/>
  </si>
  <si>
    <t>3,</t>
    <phoneticPr fontId="1" type="noConversion"/>
  </si>
  <si>
    <t>2,</t>
    <phoneticPr fontId="1" type="noConversion"/>
  </si>
  <si>
    <t>4,</t>
    <phoneticPr fontId="1" type="noConversion"/>
  </si>
  <si>
    <t>time|0.1秒</t>
    <phoneticPr fontId="1" type="noConversion"/>
  </si>
  <si>
    <t>|备注</t>
    <phoneticPr fontId="1" type="noConversion"/>
  </si>
  <si>
    <t>12389活动不要随意修改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</si>
  <si>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</si>
  <si>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</si>
  <si>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</si>
  <si>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</si>
  <si>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</si>
  <si>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3,</t>
    <phoneticPr fontId="1" type="noConversion"/>
  </si>
  <si>
    <t>5,</t>
    <phoneticPr fontId="1" type="noConversion"/>
  </si>
  <si>
    <t>小蓝鱼</t>
  </si>
  <si>
    <t>彩纹鱼</t>
  </si>
  <si>
    <t>蓝河豚</t>
  </si>
  <si>
    <t>蓝灯鱼</t>
  </si>
  <si>
    <t>海龟</t>
  </si>
  <si>
    <t>大白鲨</t>
  </si>
  <si>
    <t>虎鲸</t>
  </si>
  <si>
    <t>黄金海龟</t>
  </si>
  <si>
    <t>黄金灯笼鱼</t>
  </si>
  <si>
    <t>黄金魔鬼鱼</t>
  </si>
  <si>
    <t>黄金大白鲨</t>
  </si>
  <si>
    <t>黄金锤头鲨</t>
  </si>
  <si>
    <t>90,</t>
    <phoneticPr fontId="1" type="noConversion"/>
  </si>
  <si>
    <t>4,9,4,</t>
    <phoneticPr fontId="1" type="noConversion"/>
  </si>
  <si>
    <t>5,8,5,</t>
    <phoneticPr fontId="1" type="noConversion"/>
  </si>
  <si>
    <t>6,7,6,</t>
    <phoneticPr fontId="1" type="noConversion"/>
  </si>
  <si>
    <t>7,8,7,</t>
    <phoneticPr fontId="1" type="noConversion"/>
  </si>
  <si>
    <t>8,10,8,</t>
    <phoneticPr fontId="1" type="noConversion"/>
  </si>
  <si>
    <t>4,8,4,</t>
    <phoneticPr fontId="1" type="noConversion"/>
  </si>
  <si>
    <t>150,</t>
    <phoneticPr fontId="1" type="noConversion"/>
  </si>
  <si>
    <t>63,</t>
    <phoneticPr fontId="1" type="noConversion"/>
  </si>
  <si>
    <t>63,</t>
    <phoneticPr fontId="1" type="noConversion"/>
  </si>
  <si>
    <t>63,</t>
    <phoneticPr fontId="1" type="noConversion"/>
  </si>
  <si>
    <t>|花费时间min</t>
    <phoneticPr fontId="1" type="noConversion"/>
  </si>
  <si>
    <t>6,9,10</t>
    <phoneticPr fontId="1" type="noConversion"/>
  </si>
  <si>
    <t>7,10,8</t>
    <phoneticPr fontId="1" type="noConversion"/>
  </si>
  <si>
    <t>8,10,7</t>
    <phoneticPr fontId="1" type="noConversion"/>
  </si>
  <si>
    <t>4,5,9</t>
    <phoneticPr fontId="1" type="noConversion"/>
  </si>
  <si>
    <t>4,5,8,10</t>
    <phoneticPr fontId="1" type="noConversion"/>
  </si>
  <si>
    <t>4,5,10,8</t>
    <phoneticPr fontId="1" type="noConversion"/>
  </si>
  <si>
    <t>63,2,</t>
    <phoneticPr fontId="1" type="noConversion"/>
  </si>
  <si>
    <t>no</t>
    <phoneticPr fontId="1" type="noConversion"/>
  </si>
  <si>
    <t>random_no</t>
    <phoneticPr fontId="1" type="noConversion"/>
  </si>
  <si>
    <t>guding_no</t>
    <phoneticPr fontId="1" type="noConversion"/>
  </si>
  <si>
    <t>over_time_min</t>
    <phoneticPr fontId="1" type="noConversion"/>
  </si>
  <si>
    <t>over_time_max</t>
    <phoneticPr fontId="1" type="noConversion"/>
  </si>
  <si>
    <t>103,</t>
  </si>
  <si>
    <t>104,</t>
  </si>
  <si>
    <t>105,</t>
  </si>
  <si>
    <t>106,</t>
  </si>
  <si>
    <t>107,</t>
  </si>
  <si>
    <t>108,</t>
  </si>
  <si>
    <t>109,</t>
  </si>
  <si>
    <t>110,</t>
  </si>
  <si>
    <t>111,</t>
  </si>
  <si>
    <t>fish_yutu_random_2</t>
    <phoneticPr fontId="1" type="noConversion"/>
  </si>
  <si>
    <t>0.01,</t>
    <phoneticPr fontId="1" type="noConversion"/>
  </si>
  <si>
    <t>102,</t>
    <phoneticPr fontId="1" type="noConversion"/>
  </si>
  <si>
    <t>112,</t>
  </si>
  <si>
    <t>113,</t>
  </si>
  <si>
    <t>114,</t>
  </si>
  <si>
    <t>115,</t>
  </si>
  <si>
    <t>116,</t>
  </si>
  <si>
    <t>117,</t>
  </si>
  <si>
    <t>random_wave_js_limit|随机波动沮丧值，也是开关 -1表示关闭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</si>
  <si>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</si>
  <si>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</si>
  <si>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</si>
  <si>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</si>
  <si>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</si>
  <si>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</si>
  <si>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118,</t>
    <phoneticPr fontId="1" type="noConversion"/>
  </si>
  <si>
    <t>119,</t>
  </si>
  <si>
    <t>120,</t>
  </si>
  <si>
    <t>宝箱鱼</t>
    <phoneticPr fontId="1" type="noConversion"/>
  </si>
  <si>
    <t>id</t>
    <phoneticPr fontId="1" type="noConversion"/>
  </si>
  <si>
    <t>mode_name</t>
    <phoneticPr fontId="1" type="noConversion"/>
  </si>
  <si>
    <t>reduce_type</t>
    <phoneticPr fontId="1" type="noConversion"/>
  </si>
  <si>
    <t>reduce_value</t>
    <phoneticPr fontId="1" type="noConversion"/>
  </si>
  <si>
    <t>life_value</t>
    <phoneticPr fontId="1" type="noConversion"/>
  </si>
  <si>
    <t>|备注</t>
    <phoneticPr fontId="1" type="noConversion"/>
  </si>
  <si>
    <t>rate</t>
    <phoneticPr fontId="1" type="noConversion"/>
  </si>
  <si>
    <t>life</t>
    <phoneticPr fontId="1" type="noConversion"/>
  </si>
  <si>
    <t>固定掉一滴血</t>
    <phoneticPr fontId="1" type="noConversion"/>
  </si>
  <si>
    <t>money</t>
    <phoneticPr fontId="1" type="noConversion"/>
  </si>
  <si>
    <t>按子弹的1倍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</si>
  <si>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</si>
  <si>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</si>
  <si>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</si>
  <si>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</si>
  <si>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</si>
  <si>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</si>
  <si>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</si>
  <si>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</si>
  <si>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B模式</t>
    <phoneticPr fontId="1" type="noConversion"/>
  </si>
  <si>
    <t>奇数是倍数，偶数是权重，必须两两一组</t>
    <phoneticPr fontId="1" type="noConversion"/>
  </si>
  <si>
    <t>id|在group使用的鱼ID</t>
    <phoneticPr fontId="1" type="noConversion"/>
  </si>
  <si>
    <t>base_id|基础鱼id</t>
    <phoneticPr fontId="1" type="noConversion"/>
  </si>
  <si>
    <t>act_id|活动ID</t>
    <phoneticPr fontId="1" type="noConversion"/>
  </si>
  <si>
    <t>shoot|命中率</t>
    <phoneticPr fontId="1" type="noConversion"/>
  </si>
  <si>
    <t>act_type|活动类型</t>
    <phoneticPr fontId="1" type="noConversion"/>
  </si>
  <si>
    <t>5,</t>
  </si>
  <si>
    <t>create_gd_interval|最小创建间隔时间</t>
    <phoneticPr fontId="1" type="noConversion"/>
  </si>
  <si>
    <t>dead_mode|死亡模式</t>
    <phoneticPr fontId="1" type="noConversion"/>
  </si>
  <si>
    <t>award_id|奖励组合</t>
    <phoneticPr fontId="1" type="noConversion"/>
  </si>
  <si>
    <t>3,</t>
    <phoneticPr fontId="1" type="noConversion"/>
  </si>
  <si>
    <t>1,</t>
    <phoneticPr fontId="1" type="noConversion"/>
  </si>
  <si>
    <t>1,</t>
    <phoneticPr fontId="1" type="noConversion"/>
  </si>
  <si>
    <t>fix</t>
    <phoneticPr fontId="1" type="noConversion"/>
  </si>
  <si>
    <t>money</t>
    <phoneticPr fontId="1" type="noConversion"/>
  </si>
  <si>
    <t>按子弹的1倍</t>
    <phoneticPr fontId="1" type="noConversion"/>
  </si>
  <si>
    <t>粽子</t>
    <phoneticPr fontId="1" type="noConversion"/>
  </si>
  <si>
    <t>贝壳</t>
    <phoneticPr fontId="1" type="noConversion"/>
  </si>
  <si>
    <t>0.1,527,0,0,0,0,2,473</t>
    <phoneticPr fontId="1" type="noConversion"/>
  </si>
  <si>
    <t>0.5,455,1,240,1.5,155,2,150</t>
    <phoneticPr fontId="1" type="noConversion"/>
  </si>
  <si>
    <t>60,10,10</t>
    <phoneticPr fontId="1" type="noConversion"/>
  </si>
  <si>
    <t>黄金龙</t>
    <phoneticPr fontId="1" type="noConversion"/>
  </si>
  <si>
    <t>121,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</si>
</sst>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9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</cellXfs>
  <cellStyles count="14">
    <cellStyle name="常规" xfId="0" builtinId="0"/>
    <cellStyle name="常规 4" xfId="1" xr:uid="{00000000-0005-0000-0000-000001000000}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:/JY/JyQipai_doc/config/fish_data_config_1%20-%20&#21103;&#26412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:/JY/JyQipai_doc/config/fish_data_config_1%20-%20&#24453;&#21457;&#24067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wave"/>
      <sheetName val="random_wave"/>
      <sheetName val="image_cfg"/>
      <sheetName val="group"/>
      <sheetName val="use_fish"/>
      <sheetName val="activity"/>
      <sheetName val="path"/>
      <sheetName val="base_fish"/>
      <sheetName val="laser"/>
      <sheetName val="gun"/>
      <sheetName val="skill"/>
      <sheetName val="dead_mode"/>
      <sheetName val="box_fish_award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id|在group使用的鱼ID</v>
          </cell>
          <cell r="D1" t="str">
            <v>rate|倍率</v>
          </cell>
        </row>
        <row r="2">
          <cell r="A2">
            <v>1</v>
          </cell>
          <cell r="B2">
            <v>1</v>
          </cell>
          <cell r="D2">
            <v>1</v>
          </cell>
        </row>
        <row r="3">
          <cell r="A3">
            <v>2</v>
          </cell>
          <cell r="B3">
            <v>2</v>
          </cell>
          <cell r="D3">
            <v>2</v>
          </cell>
        </row>
        <row r="4">
          <cell r="A4">
            <v>3</v>
          </cell>
          <cell r="B4">
            <v>3</v>
          </cell>
          <cell r="D4">
            <v>5</v>
          </cell>
        </row>
        <row r="5">
          <cell r="A5">
            <v>4</v>
          </cell>
          <cell r="B5">
            <v>4</v>
          </cell>
          <cell r="D5">
            <v>8</v>
          </cell>
        </row>
        <row r="6">
          <cell r="A6">
            <v>5</v>
          </cell>
          <cell r="B6">
            <v>5</v>
          </cell>
          <cell r="D6">
            <v>15</v>
          </cell>
        </row>
        <row r="7">
          <cell r="A7">
            <v>6</v>
          </cell>
          <cell r="B7">
            <v>6</v>
          </cell>
          <cell r="D7">
            <v>20</v>
          </cell>
        </row>
        <row r="8">
          <cell r="A8">
            <v>7</v>
          </cell>
          <cell r="B8">
            <v>7</v>
          </cell>
          <cell r="D8">
            <v>30</v>
          </cell>
        </row>
        <row r="9">
          <cell r="A9">
            <v>8</v>
          </cell>
          <cell r="B9">
            <v>8</v>
          </cell>
          <cell r="D9">
            <v>40</v>
          </cell>
        </row>
        <row r="10">
          <cell r="A10">
            <v>9</v>
          </cell>
          <cell r="B10">
            <v>9</v>
          </cell>
          <cell r="D10">
            <v>50</v>
          </cell>
        </row>
        <row r="11">
          <cell r="A11">
            <v>10</v>
          </cell>
          <cell r="B11">
            <v>10</v>
          </cell>
          <cell r="D11">
            <v>60</v>
          </cell>
        </row>
        <row r="12">
          <cell r="A12">
            <v>11</v>
          </cell>
          <cell r="B12">
            <v>11</v>
          </cell>
          <cell r="D12">
            <v>70</v>
          </cell>
        </row>
        <row r="13">
          <cell r="A13">
            <v>12</v>
          </cell>
          <cell r="B13">
            <v>12</v>
          </cell>
          <cell r="D13">
            <v>100</v>
          </cell>
        </row>
        <row r="14">
          <cell r="A14">
            <v>13</v>
          </cell>
          <cell r="B14">
            <v>13</v>
          </cell>
          <cell r="D14">
            <v>150</v>
          </cell>
        </row>
        <row r="15">
          <cell r="A15">
            <v>14</v>
          </cell>
          <cell r="B15">
            <v>14</v>
          </cell>
          <cell r="D15">
            <v>80</v>
          </cell>
        </row>
        <row r="16">
          <cell r="A16">
            <v>15</v>
          </cell>
          <cell r="B16">
            <v>15</v>
          </cell>
          <cell r="D16">
            <v>100</v>
          </cell>
        </row>
        <row r="17">
          <cell r="A17">
            <v>16</v>
          </cell>
          <cell r="B17">
            <v>16</v>
          </cell>
          <cell r="D17">
            <v>120</v>
          </cell>
        </row>
        <row r="18">
          <cell r="A18">
            <v>17</v>
          </cell>
          <cell r="B18">
            <v>17</v>
          </cell>
          <cell r="D18">
            <v>140</v>
          </cell>
        </row>
        <row r="19">
          <cell r="A19">
            <v>18</v>
          </cell>
          <cell r="B19">
            <v>18</v>
          </cell>
          <cell r="D19">
            <v>200</v>
          </cell>
        </row>
        <row r="20">
          <cell r="A20">
            <v>19</v>
          </cell>
          <cell r="B20">
            <v>6</v>
          </cell>
          <cell r="C20">
            <v>2</v>
          </cell>
          <cell r="D20">
            <v>83</v>
          </cell>
        </row>
        <row r="21">
          <cell r="A21">
            <v>20</v>
          </cell>
          <cell r="B21">
            <v>6</v>
          </cell>
          <cell r="C21">
            <v>3</v>
          </cell>
          <cell r="D21">
            <v>83</v>
          </cell>
        </row>
        <row r="22">
          <cell r="A22">
            <v>21</v>
          </cell>
          <cell r="B22">
            <v>6</v>
          </cell>
          <cell r="C22">
            <v>5</v>
          </cell>
          <cell r="D22">
            <v>70</v>
          </cell>
        </row>
        <row r="23">
          <cell r="A23">
            <v>22</v>
          </cell>
          <cell r="B23">
            <v>6</v>
          </cell>
          <cell r="C23">
            <v>7</v>
          </cell>
          <cell r="D23">
            <v>70</v>
          </cell>
        </row>
        <row r="24">
          <cell r="A24">
            <v>23</v>
          </cell>
          <cell r="B24">
            <v>6</v>
          </cell>
          <cell r="C24">
            <v>10</v>
          </cell>
          <cell r="D24">
            <v>70</v>
          </cell>
        </row>
        <row r="25">
          <cell r="A25">
            <v>24</v>
          </cell>
          <cell r="B25">
            <v>7</v>
          </cell>
          <cell r="C25">
            <v>2</v>
          </cell>
          <cell r="D25">
            <v>93</v>
          </cell>
        </row>
        <row r="26">
          <cell r="A26">
            <v>25</v>
          </cell>
          <cell r="B26">
            <v>7</v>
          </cell>
          <cell r="C26">
            <v>3</v>
          </cell>
          <cell r="D26">
            <v>93</v>
          </cell>
        </row>
        <row r="27">
          <cell r="A27">
            <v>26</v>
          </cell>
          <cell r="B27">
            <v>7</v>
          </cell>
          <cell r="C27">
            <v>5</v>
          </cell>
          <cell r="D27">
            <v>80</v>
          </cell>
        </row>
        <row r="28">
          <cell r="A28">
            <v>27</v>
          </cell>
          <cell r="B28">
            <v>7</v>
          </cell>
          <cell r="C28">
            <v>7</v>
          </cell>
          <cell r="D28">
            <v>80</v>
          </cell>
        </row>
        <row r="29">
          <cell r="A29">
            <v>28</v>
          </cell>
          <cell r="B29">
            <v>7</v>
          </cell>
          <cell r="C29">
            <v>17</v>
          </cell>
          <cell r="D29">
            <v>80</v>
          </cell>
        </row>
        <row r="30">
          <cell r="A30">
            <v>29</v>
          </cell>
          <cell r="B30">
            <v>8</v>
          </cell>
          <cell r="C30">
            <v>2</v>
          </cell>
          <cell r="D30">
            <v>103</v>
          </cell>
        </row>
        <row r="31">
          <cell r="A31">
            <v>30</v>
          </cell>
          <cell r="B31">
            <v>8</v>
          </cell>
          <cell r="C31">
            <v>3</v>
          </cell>
          <cell r="D31">
            <v>103</v>
          </cell>
        </row>
        <row r="32">
          <cell r="A32">
            <v>31</v>
          </cell>
          <cell r="B32">
            <v>8</v>
          </cell>
          <cell r="C32">
            <v>5</v>
          </cell>
          <cell r="D32">
            <v>90</v>
          </cell>
        </row>
        <row r="33">
          <cell r="A33">
            <v>32</v>
          </cell>
          <cell r="B33">
            <v>8</v>
          </cell>
          <cell r="C33">
            <v>7</v>
          </cell>
          <cell r="D33">
            <v>90</v>
          </cell>
        </row>
        <row r="34">
          <cell r="A34">
            <v>33</v>
          </cell>
          <cell r="B34">
            <v>8</v>
          </cell>
          <cell r="C34">
            <v>17</v>
          </cell>
          <cell r="D34">
            <v>90</v>
          </cell>
        </row>
        <row r="35">
          <cell r="A35">
            <v>34</v>
          </cell>
          <cell r="B35">
            <v>8</v>
          </cell>
          <cell r="C35">
            <v>12</v>
          </cell>
          <cell r="D35">
            <v>40</v>
          </cell>
        </row>
        <row r="36">
          <cell r="A36">
            <v>35</v>
          </cell>
          <cell r="B36">
            <v>8</v>
          </cell>
          <cell r="C36">
            <v>14</v>
          </cell>
          <cell r="D36">
            <v>40</v>
          </cell>
        </row>
        <row r="37">
          <cell r="A37">
            <v>36</v>
          </cell>
          <cell r="B37">
            <v>9</v>
          </cell>
          <cell r="C37">
            <v>2</v>
          </cell>
          <cell r="D37">
            <v>113</v>
          </cell>
        </row>
        <row r="38">
          <cell r="A38">
            <v>37</v>
          </cell>
          <cell r="B38">
            <v>9</v>
          </cell>
          <cell r="C38">
            <v>3</v>
          </cell>
          <cell r="D38">
            <v>113</v>
          </cell>
        </row>
        <row r="39">
          <cell r="A39">
            <v>38</v>
          </cell>
          <cell r="B39">
            <v>9</v>
          </cell>
          <cell r="C39">
            <v>5</v>
          </cell>
          <cell r="D39">
            <v>100</v>
          </cell>
        </row>
        <row r="40">
          <cell r="A40">
            <v>39</v>
          </cell>
          <cell r="B40">
            <v>9</v>
          </cell>
          <cell r="C40">
            <v>7</v>
          </cell>
          <cell r="D40">
            <v>100</v>
          </cell>
        </row>
        <row r="41">
          <cell r="A41">
            <v>40</v>
          </cell>
          <cell r="B41">
            <v>9</v>
          </cell>
          <cell r="C41">
            <v>17</v>
          </cell>
          <cell r="D41">
            <v>100</v>
          </cell>
        </row>
        <row r="42">
          <cell r="A42">
            <v>41</v>
          </cell>
          <cell r="B42">
            <v>9</v>
          </cell>
          <cell r="C42">
            <v>12</v>
          </cell>
          <cell r="D42">
            <v>50</v>
          </cell>
        </row>
        <row r="43">
          <cell r="A43">
            <v>42</v>
          </cell>
          <cell r="B43">
            <v>9</v>
          </cell>
          <cell r="C43">
            <v>14</v>
          </cell>
          <cell r="D43">
            <v>50</v>
          </cell>
        </row>
        <row r="44">
          <cell r="A44">
            <v>43</v>
          </cell>
          <cell r="B44">
            <v>9</v>
          </cell>
          <cell r="C44">
            <v>4</v>
          </cell>
          <cell r="D44">
            <v>80</v>
          </cell>
        </row>
        <row r="45">
          <cell r="A45">
            <v>44</v>
          </cell>
          <cell r="B45">
            <v>9</v>
          </cell>
          <cell r="C45">
            <v>6</v>
          </cell>
          <cell r="D45">
            <v>70</v>
          </cell>
        </row>
        <row r="46">
          <cell r="A46">
            <v>45</v>
          </cell>
          <cell r="B46">
            <v>10</v>
          </cell>
          <cell r="C46">
            <v>2</v>
          </cell>
          <cell r="D46">
            <v>123</v>
          </cell>
        </row>
        <row r="47">
          <cell r="A47">
            <v>46</v>
          </cell>
          <cell r="B47">
            <v>10</v>
          </cell>
          <cell r="C47">
            <v>3</v>
          </cell>
          <cell r="D47">
            <v>123</v>
          </cell>
        </row>
        <row r="48">
          <cell r="A48">
            <v>47</v>
          </cell>
          <cell r="B48">
            <v>10</v>
          </cell>
          <cell r="C48">
            <v>5</v>
          </cell>
          <cell r="D48">
            <v>110</v>
          </cell>
        </row>
        <row r="49">
          <cell r="A49">
            <v>48</v>
          </cell>
          <cell r="B49">
            <v>10</v>
          </cell>
          <cell r="C49">
            <v>7</v>
          </cell>
          <cell r="D49">
            <v>110</v>
          </cell>
        </row>
        <row r="50">
          <cell r="A50">
            <v>49</v>
          </cell>
          <cell r="B50">
            <v>10</v>
          </cell>
          <cell r="C50">
            <v>17</v>
          </cell>
          <cell r="D50">
            <v>110</v>
          </cell>
        </row>
        <row r="51">
          <cell r="A51">
            <v>50</v>
          </cell>
          <cell r="B51">
            <v>10</v>
          </cell>
          <cell r="C51">
            <v>12</v>
          </cell>
          <cell r="D51">
            <v>60</v>
          </cell>
        </row>
        <row r="52">
          <cell r="A52">
            <v>51</v>
          </cell>
          <cell r="B52">
            <v>10</v>
          </cell>
          <cell r="C52">
            <v>13</v>
          </cell>
          <cell r="D52">
            <v>60</v>
          </cell>
        </row>
        <row r="53">
          <cell r="A53">
            <v>52</v>
          </cell>
          <cell r="B53">
            <v>10</v>
          </cell>
          <cell r="C53">
            <v>14</v>
          </cell>
          <cell r="D53">
            <v>60</v>
          </cell>
        </row>
        <row r="54">
          <cell r="A54">
            <v>53</v>
          </cell>
          <cell r="B54">
            <v>10</v>
          </cell>
          <cell r="C54">
            <v>4</v>
          </cell>
          <cell r="D54">
            <v>90</v>
          </cell>
        </row>
        <row r="55">
          <cell r="A55">
            <v>54</v>
          </cell>
          <cell r="B55">
            <v>10</v>
          </cell>
          <cell r="C55">
            <v>6</v>
          </cell>
          <cell r="D55">
            <v>80</v>
          </cell>
        </row>
        <row r="56">
          <cell r="A56">
            <v>55</v>
          </cell>
          <cell r="B56">
            <v>11</v>
          </cell>
          <cell r="C56">
            <v>2</v>
          </cell>
          <cell r="D56">
            <v>133</v>
          </cell>
        </row>
        <row r="57">
          <cell r="A57">
            <v>56</v>
          </cell>
          <cell r="B57">
            <v>11</v>
          </cell>
          <cell r="C57">
            <v>3</v>
          </cell>
          <cell r="D57">
            <v>133</v>
          </cell>
        </row>
        <row r="58">
          <cell r="A58">
            <v>57</v>
          </cell>
          <cell r="B58">
            <v>11</v>
          </cell>
          <cell r="C58">
            <v>5</v>
          </cell>
          <cell r="D58">
            <v>120</v>
          </cell>
        </row>
        <row r="59">
          <cell r="A59">
            <v>58</v>
          </cell>
          <cell r="B59">
            <v>11</v>
          </cell>
          <cell r="C59">
            <v>7</v>
          </cell>
          <cell r="D59">
            <v>120</v>
          </cell>
        </row>
        <row r="60">
          <cell r="A60">
            <v>59</v>
          </cell>
          <cell r="B60">
            <v>11</v>
          </cell>
          <cell r="C60">
            <v>17</v>
          </cell>
          <cell r="D60">
            <v>120</v>
          </cell>
        </row>
        <row r="61">
          <cell r="A61">
            <v>60</v>
          </cell>
          <cell r="B61">
            <v>11</v>
          </cell>
          <cell r="C61">
            <v>11</v>
          </cell>
          <cell r="D61">
            <v>70</v>
          </cell>
        </row>
        <row r="62">
          <cell r="A62">
            <v>61</v>
          </cell>
          <cell r="B62">
            <v>11</v>
          </cell>
          <cell r="C62">
            <v>12</v>
          </cell>
          <cell r="D62">
            <v>70</v>
          </cell>
        </row>
        <row r="63">
          <cell r="A63">
            <v>62</v>
          </cell>
          <cell r="B63">
            <v>11</v>
          </cell>
          <cell r="C63">
            <v>13</v>
          </cell>
          <cell r="D63">
            <v>70</v>
          </cell>
        </row>
        <row r="64">
          <cell r="A64">
            <v>63</v>
          </cell>
          <cell r="B64">
            <v>11</v>
          </cell>
          <cell r="C64">
            <v>14</v>
          </cell>
          <cell r="D64">
            <v>70</v>
          </cell>
        </row>
        <row r="65">
          <cell r="A65">
            <v>64</v>
          </cell>
          <cell r="B65">
            <v>12</v>
          </cell>
          <cell r="C65">
            <v>2</v>
          </cell>
          <cell r="D65">
            <v>163</v>
          </cell>
        </row>
        <row r="66">
          <cell r="A66">
            <v>65</v>
          </cell>
          <cell r="B66">
            <v>12</v>
          </cell>
          <cell r="C66">
            <v>3</v>
          </cell>
          <cell r="D66">
            <v>163</v>
          </cell>
        </row>
        <row r="67">
          <cell r="A67">
            <v>66</v>
          </cell>
          <cell r="B67">
            <v>12</v>
          </cell>
          <cell r="C67">
            <v>5</v>
          </cell>
          <cell r="D67">
            <v>150</v>
          </cell>
        </row>
        <row r="68">
          <cell r="A68">
            <v>67</v>
          </cell>
          <cell r="B68">
            <v>12</v>
          </cell>
          <cell r="C68">
            <v>7</v>
          </cell>
          <cell r="D68">
            <v>150</v>
          </cell>
        </row>
        <row r="69">
          <cell r="A69">
            <v>68</v>
          </cell>
          <cell r="B69">
            <v>12</v>
          </cell>
          <cell r="C69">
            <v>17</v>
          </cell>
          <cell r="D69">
            <v>150</v>
          </cell>
        </row>
        <row r="70">
          <cell r="A70">
            <v>69</v>
          </cell>
          <cell r="B70">
            <v>12</v>
          </cell>
          <cell r="C70">
            <v>12</v>
          </cell>
          <cell r="D70">
            <v>100</v>
          </cell>
        </row>
        <row r="71">
          <cell r="A71">
            <v>70</v>
          </cell>
          <cell r="B71">
            <v>12</v>
          </cell>
          <cell r="C71">
            <v>13</v>
          </cell>
          <cell r="D71">
            <v>100</v>
          </cell>
        </row>
        <row r="72">
          <cell r="A72">
            <v>71</v>
          </cell>
          <cell r="B72">
            <v>12</v>
          </cell>
          <cell r="C72">
            <v>14</v>
          </cell>
          <cell r="D72">
            <v>100</v>
          </cell>
        </row>
        <row r="73">
          <cell r="A73">
            <v>72</v>
          </cell>
          <cell r="B73">
            <v>14</v>
          </cell>
          <cell r="C73">
            <v>2</v>
          </cell>
          <cell r="D73">
            <v>143</v>
          </cell>
        </row>
        <row r="74">
          <cell r="A74">
            <v>73</v>
          </cell>
          <cell r="B74">
            <v>14</v>
          </cell>
          <cell r="C74">
            <v>3</v>
          </cell>
          <cell r="D74">
            <v>143</v>
          </cell>
        </row>
        <row r="75">
          <cell r="A75">
            <v>74</v>
          </cell>
          <cell r="B75">
            <v>14</v>
          </cell>
          <cell r="C75">
            <v>5</v>
          </cell>
          <cell r="D75">
            <v>130</v>
          </cell>
        </row>
        <row r="76">
          <cell r="A76">
            <v>75</v>
          </cell>
          <cell r="B76">
            <v>14</v>
          </cell>
          <cell r="C76">
            <v>7</v>
          </cell>
          <cell r="D76">
            <v>130</v>
          </cell>
        </row>
        <row r="77">
          <cell r="A77">
            <v>76</v>
          </cell>
          <cell r="B77">
            <v>14</v>
          </cell>
          <cell r="C77">
            <v>17</v>
          </cell>
          <cell r="D77">
            <v>130</v>
          </cell>
        </row>
        <row r="78">
          <cell r="A78">
            <v>77</v>
          </cell>
          <cell r="B78">
            <v>14</v>
          </cell>
          <cell r="C78">
            <v>11</v>
          </cell>
          <cell r="D78">
            <v>80</v>
          </cell>
        </row>
        <row r="79">
          <cell r="A79">
            <v>78</v>
          </cell>
          <cell r="B79">
            <v>14</v>
          </cell>
          <cell r="C79">
            <v>12</v>
          </cell>
          <cell r="D79">
            <v>80</v>
          </cell>
        </row>
        <row r="80">
          <cell r="A80">
            <v>79</v>
          </cell>
          <cell r="B80">
            <v>14</v>
          </cell>
          <cell r="C80">
            <v>14</v>
          </cell>
          <cell r="D80">
            <v>80</v>
          </cell>
        </row>
        <row r="81">
          <cell r="A81">
            <v>80</v>
          </cell>
          <cell r="B81">
            <v>14</v>
          </cell>
          <cell r="C81">
            <v>4</v>
          </cell>
          <cell r="D81">
            <v>110</v>
          </cell>
        </row>
        <row r="82">
          <cell r="A82">
            <v>81</v>
          </cell>
          <cell r="B82">
            <v>14</v>
          </cell>
          <cell r="C82">
            <v>6</v>
          </cell>
          <cell r="D82">
            <v>100</v>
          </cell>
        </row>
        <row r="83">
          <cell r="A83">
            <v>82</v>
          </cell>
          <cell r="B83">
            <v>15</v>
          </cell>
          <cell r="C83">
            <v>2</v>
          </cell>
          <cell r="D83">
            <v>163</v>
          </cell>
        </row>
        <row r="84">
          <cell r="A84">
            <v>83</v>
          </cell>
          <cell r="B84">
            <v>15</v>
          </cell>
          <cell r="C84">
            <v>3</v>
          </cell>
          <cell r="D84">
            <v>163</v>
          </cell>
        </row>
        <row r="85">
          <cell r="A85">
            <v>84</v>
          </cell>
          <cell r="B85">
            <v>15</v>
          </cell>
          <cell r="C85">
            <v>5</v>
          </cell>
          <cell r="D85">
            <v>150</v>
          </cell>
        </row>
        <row r="86">
          <cell r="A86">
            <v>85</v>
          </cell>
          <cell r="B86">
            <v>15</v>
          </cell>
          <cell r="C86">
            <v>7</v>
          </cell>
          <cell r="D86">
            <v>150</v>
          </cell>
        </row>
        <row r="87">
          <cell r="A87">
            <v>86</v>
          </cell>
          <cell r="B87">
            <v>15</v>
          </cell>
          <cell r="C87">
            <v>17</v>
          </cell>
          <cell r="D87">
            <v>150</v>
          </cell>
        </row>
        <row r="88">
          <cell r="A88">
            <v>87</v>
          </cell>
          <cell r="B88">
            <v>15</v>
          </cell>
          <cell r="C88">
            <v>12</v>
          </cell>
          <cell r="D88">
            <v>100</v>
          </cell>
        </row>
        <row r="89">
          <cell r="A89">
            <v>88</v>
          </cell>
          <cell r="B89">
            <v>15</v>
          </cell>
          <cell r="C89">
            <v>13</v>
          </cell>
          <cell r="D89">
            <v>100</v>
          </cell>
        </row>
        <row r="90">
          <cell r="A90">
            <v>89</v>
          </cell>
          <cell r="B90">
            <v>15</v>
          </cell>
          <cell r="C90">
            <v>14</v>
          </cell>
          <cell r="D90">
            <v>100</v>
          </cell>
        </row>
        <row r="91">
          <cell r="A91">
            <v>90</v>
          </cell>
          <cell r="B91">
            <v>15</v>
          </cell>
          <cell r="C91">
            <v>4</v>
          </cell>
          <cell r="D91">
            <v>130</v>
          </cell>
        </row>
        <row r="92">
          <cell r="A92">
            <v>91</v>
          </cell>
          <cell r="B92">
            <v>15</v>
          </cell>
          <cell r="C92">
            <v>6</v>
          </cell>
          <cell r="D92">
            <v>120</v>
          </cell>
        </row>
        <row r="93">
          <cell r="A93">
            <v>92</v>
          </cell>
          <cell r="B93">
            <v>16</v>
          </cell>
          <cell r="C93">
            <v>2</v>
          </cell>
          <cell r="D93">
            <v>183</v>
          </cell>
        </row>
        <row r="94">
          <cell r="A94">
            <v>93</v>
          </cell>
          <cell r="B94">
            <v>16</v>
          </cell>
          <cell r="C94">
            <v>3</v>
          </cell>
          <cell r="D94">
            <v>183</v>
          </cell>
        </row>
        <row r="95">
          <cell r="A95">
            <v>94</v>
          </cell>
          <cell r="B95">
            <v>16</v>
          </cell>
          <cell r="C95">
            <v>5</v>
          </cell>
          <cell r="D95">
            <v>170</v>
          </cell>
        </row>
        <row r="96">
          <cell r="A96">
            <v>95</v>
          </cell>
          <cell r="B96">
            <v>16</v>
          </cell>
          <cell r="C96">
            <v>7</v>
          </cell>
          <cell r="D96">
            <v>170</v>
          </cell>
        </row>
        <row r="97">
          <cell r="A97">
            <v>96</v>
          </cell>
          <cell r="B97">
            <v>16</v>
          </cell>
          <cell r="C97">
            <v>10</v>
          </cell>
          <cell r="D97">
            <v>170</v>
          </cell>
        </row>
        <row r="98">
          <cell r="A98">
            <v>97</v>
          </cell>
          <cell r="B98">
            <v>16</v>
          </cell>
          <cell r="C98">
            <v>11</v>
          </cell>
          <cell r="D98">
            <v>120</v>
          </cell>
        </row>
        <row r="99">
          <cell r="A99">
            <v>98</v>
          </cell>
          <cell r="B99">
            <v>16</v>
          </cell>
          <cell r="C99">
            <v>12</v>
          </cell>
          <cell r="D99">
            <v>120</v>
          </cell>
        </row>
        <row r="100">
          <cell r="A100">
            <v>99</v>
          </cell>
          <cell r="B100">
            <v>16</v>
          </cell>
          <cell r="C100">
            <v>14</v>
          </cell>
          <cell r="D100">
            <v>120</v>
          </cell>
        </row>
        <row r="101">
          <cell r="A101">
            <v>100</v>
          </cell>
          <cell r="B101">
            <v>16</v>
          </cell>
          <cell r="C101">
            <v>4</v>
          </cell>
          <cell r="D101">
            <v>150</v>
          </cell>
        </row>
        <row r="102">
          <cell r="A102">
            <v>101</v>
          </cell>
          <cell r="B102">
            <v>16</v>
          </cell>
          <cell r="C102">
            <v>6</v>
          </cell>
          <cell r="D102">
            <v>140</v>
          </cell>
        </row>
        <row r="103">
          <cell r="A103">
            <v>102</v>
          </cell>
          <cell r="B103">
            <v>8</v>
          </cell>
          <cell r="C103">
            <v>15</v>
          </cell>
          <cell r="D103">
            <v>50</v>
          </cell>
        </row>
        <row r="104">
          <cell r="A104">
            <v>103</v>
          </cell>
          <cell r="B104">
            <v>9</v>
          </cell>
          <cell r="C104">
            <v>15</v>
          </cell>
          <cell r="D104">
            <v>60</v>
          </cell>
        </row>
        <row r="105">
          <cell r="A105">
            <v>104</v>
          </cell>
          <cell r="B105">
            <v>10</v>
          </cell>
          <cell r="C105">
            <v>15</v>
          </cell>
          <cell r="D105">
            <v>70</v>
          </cell>
        </row>
        <row r="106">
          <cell r="A106">
            <v>105</v>
          </cell>
          <cell r="B106">
            <v>11</v>
          </cell>
          <cell r="C106">
            <v>15</v>
          </cell>
          <cell r="D106">
            <v>80</v>
          </cell>
        </row>
        <row r="107">
          <cell r="A107">
            <v>106</v>
          </cell>
          <cell r="B107">
            <v>12</v>
          </cell>
          <cell r="C107">
            <v>15</v>
          </cell>
          <cell r="D107">
            <v>110</v>
          </cell>
        </row>
        <row r="108">
          <cell r="A108">
            <v>107</v>
          </cell>
          <cell r="B108">
            <v>14</v>
          </cell>
          <cell r="C108">
            <v>15</v>
          </cell>
          <cell r="D108">
            <v>90</v>
          </cell>
        </row>
        <row r="109">
          <cell r="A109">
            <v>108</v>
          </cell>
          <cell r="B109">
            <v>15</v>
          </cell>
          <cell r="C109">
            <v>15</v>
          </cell>
          <cell r="D109">
            <v>110</v>
          </cell>
        </row>
        <row r="110">
          <cell r="A110">
            <v>109</v>
          </cell>
          <cell r="B110">
            <v>16</v>
          </cell>
          <cell r="C110">
            <v>15</v>
          </cell>
          <cell r="D110">
            <v>130</v>
          </cell>
        </row>
        <row r="111">
          <cell r="A111">
            <v>110</v>
          </cell>
          <cell r="B111">
            <v>8</v>
          </cell>
          <cell r="C111">
            <v>16</v>
          </cell>
          <cell r="D111">
            <v>50</v>
          </cell>
        </row>
        <row r="112">
          <cell r="A112">
            <v>111</v>
          </cell>
          <cell r="B112">
            <v>9</v>
          </cell>
          <cell r="C112">
            <v>16</v>
          </cell>
          <cell r="D112">
            <v>60</v>
          </cell>
        </row>
        <row r="113">
          <cell r="A113">
            <v>112</v>
          </cell>
          <cell r="B113">
            <v>10</v>
          </cell>
          <cell r="C113">
            <v>16</v>
          </cell>
          <cell r="D113">
            <v>70</v>
          </cell>
        </row>
        <row r="114">
          <cell r="A114">
            <v>113</v>
          </cell>
          <cell r="B114">
            <v>11</v>
          </cell>
          <cell r="C114">
            <v>16</v>
          </cell>
          <cell r="D114">
            <v>80</v>
          </cell>
        </row>
        <row r="115">
          <cell r="A115">
            <v>114</v>
          </cell>
          <cell r="B115">
            <v>12</v>
          </cell>
          <cell r="C115">
            <v>16</v>
          </cell>
          <cell r="D115">
            <v>110</v>
          </cell>
        </row>
        <row r="116">
          <cell r="A116">
            <v>115</v>
          </cell>
          <cell r="B116">
            <v>14</v>
          </cell>
          <cell r="C116">
            <v>16</v>
          </cell>
          <cell r="D116">
            <v>90</v>
          </cell>
        </row>
        <row r="117">
          <cell r="A117">
            <v>116</v>
          </cell>
          <cell r="B117">
            <v>15</v>
          </cell>
          <cell r="C117">
            <v>16</v>
          </cell>
          <cell r="D117">
            <v>110</v>
          </cell>
        </row>
        <row r="118">
          <cell r="A118">
            <v>117</v>
          </cell>
          <cell r="B118">
            <v>16</v>
          </cell>
          <cell r="C118">
            <v>16</v>
          </cell>
          <cell r="D118">
            <v>130</v>
          </cell>
        </row>
        <row r="119">
          <cell r="A119">
            <v>118</v>
          </cell>
          <cell r="B119">
            <v>19</v>
          </cell>
          <cell r="D119">
            <v>600</v>
          </cell>
        </row>
        <row r="120">
          <cell r="A120">
            <v>119</v>
          </cell>
          <cell r="B120">
            <v>19</v>
          </cell>
          <cell r="D120">
            <v>600</v>
          </cell>
        </row>
        <row r="121">
          <cell r="A121">
            <v>120</v>
          </cell>
          <cell r="B121">
            <v>19</v>
          </cell>
          <cell r="D121">
            <v>600</v>
          </cell>
        </row>
      </sheetData>
      <sheetData sheetId="6">
        <row r="1">
          <cell r="A1" t="str">
            <v>id|编号</v>
          </cell>
          <cell r="E1" t="str">
            <v>value|价值</v>
          </cell>
          <cell r="F1" t="str">
            <v>|活动名</v>
          </cell>
        </row>
        <row r="2">
          <cell r="A2">
            <v>1</v>
          </cell>
          <cell r="E2">
            <v>63</v>
          </cell>
          <cell r="F2" t="str">
            <v>免费子弹</v>
          </cell>
        </row>
        <row r="3">
          <cell r="A3">
            <v>2</v>
          </cell>
          <cell r="E3">
            <v>63</v>
          </cell>
          <cell r="F3" t="str">
            <v>威力提升</v>
          </cell>
        </row>
        <row r="4">
          <cell r="A4">
            <v>3</v>
          </cell>
          <cell r="E4">
            <v>63</v>
          </cell>
          <cell r="F4" t="str">
            <v>暴击时刻</v>
          </cell>
        </row>
        <row r="5">
          <cell r="A5">
            <v>4</v>
          </cell>
          <cell r="E5">
            <v>30</v>
          </cell>
          <cell r="F5" t="str">
            <v>炸弹</v>
          </cell>
        </row>
        <row r="6">
          <cell r="A6">
            <v>5</v>
          </cell>
          <cell r="E6">
            <v>50</v>
          </cell>
          <cell r="F6" t="str">
            <v>闪电</v>
          </cell>
        </row>
        <row r="7">
          <cell r="A7">
            <v>6</v>
          </cell>
          <cell r="E7">
            <v>20</v>
          </cell>
          <cell r="F7" t="str">
            <v>炸弹</v>
          </cell>
        </row>
        <row r="8">
          <cell r="A8">
            <v>7</v>
          </cell>
          <cell r="E8">
            <v>50</v>
          </cell>
          <cell r="F8" t="str">
            <v>免费子弹</v>
          </cell>
        </row>
        <row r="9">
          <cell r="A9">
            <v>8</v>
          </cell>
          <cell r="E9">
            <v>63</v>
          </cell>
          <cell r="F9" t="str">
            <v>炸弹</v>
          </cell>
        </row>
        <row r="10">
          <cell r="A10">
            <v>9</v>
          </cell>
          <cell r="E10">
            <v>63</v>
          </cell>
          <cell r="F10" t="str">
            <v>闪电</v>
          </cell>
        </row>
        <row r="11">
          <cell r="A11">
            <v>10</v>
          </cell>
          <cell r="E11">
            <v>50</v>
          </cell>
          <cell r="F11" t="str">
            <v>闪电</v>
          </cell>
        </row>
        <row r="12">
          <cell r="A12">
            <v>11</v>
          </cell>
          <cell r="E12">
            <v>0</v>
          </cell>
          <cell r="F12" t="str">
            <v>锁定卡</v>
          </cell>
        </row>
        <row r="13">
          <cell r="A13">
            <v>12</v>
          </cell>
          <cell r="E13">
            <v>0</v>
          </cell>
          <cell r="F13" t="str">
            <v>锁定卡</v>
          </cell>
        </row>
        <row r="14">
          <cell r="A14">
            <v>13</v>
          </cell>
          <cell r="E14">
            <v>0</v>
          </cell>
          <cell r="F14" t="str">
            <v>冰冻卡</v>
          </cell>
        </row>
        <row r="15">
          <cell r="A15">
            <v>14</v>
          </cell>
          <cell r="E15">
            <v>0</v>
          </cell>
          <cell r="F15" t="str">
            <v>冰冻卡</v>
          </cell>
        </row>
        <row r="16">
          <cell r="A16">
            <v>15</v>
          </cell>
          <cell r="E16">
            <v>10</v>
          </cell>
          <cell r="F16" t="str">
            <v>粽子</v>
          </cell>
        </row>
        <row r="17">
          <cell r="A17">
            <v>16</v>
          </cell>
          <cell r="E17">
            <v>10</v>
          </cell>
          <cell r="F17" t="str">
            <v>粽子</v>
          </cell>
        </row>
        <row r="18">
          <cell r="A18">
            <v>17</v>
          </cell>
          <cell r="E18">
            <v>50</v>
          </cell>
          <cell r="F18" t="str">
            <v>贝壳</v>
          </cell>
        </row>
      </sheetData>
      <sheetData sheetId="7"/>
      <sheetData sheetId="8">
        <row r="1">
          <cell r="A1" t="str">
            <v>id|基础鱼的ID</v>
          </cell>
          <cell r="C1" t="str">
            <v>rate|倍率</v>
          </cell>
          <cell r="E1" t="str">
            <v>|鱼名</v>
          </cell>
        </row>
        <row r="2">
          <cell r="A2">
            <v>1</v>
          </cell>
          <cell r="C2">
            <v>1</v>
          </cell>
          <cell r="E2" t="str">
            <v>小黄鱼</v>
          </cell>
        </row>
        <row r="3">
          <cell r="A3">
            <v>2</v>
          </cell>
          <cell r="C3">
            <v>2</v>
          </cell>
          <cell r="E3" t="str">
            <v>小蓝鱼</v>
          </cell>
        </row>
        <row r="4">
          <cell r="A4">
            <v>3</v>
          </cell>
          <cell r="C4">
            <v>5</v>
          </cell>
          <cell r="E4" t="str">
            <v>彩纹鱼</v>
          </cell>
        </row>
        <row r="5">
          <cell r="A5">
            <v>4</v>
          </cell>
          <cell r="C5">
            <v>8</v>
          </cell>
          <cell r="E5" t="str">
            <v>蓝河豚</v>
          </cell>
        </row>
        <row r="6">
          <cell r="A6">
            <v>5</v>
          </cell>
          <cell r="C6">
            <v>15</v>
          </cell>
          <cell r="E6" t="str">
            <v>小丑鱼</v>
          </cell>
        </row>
        <row r="7">
          <cell r="A7">
            <v>6</v>
          </cell>
          <cell r="C7">
            <v>20</v>
          </cell>
          <cell r="E7" t="str">
            <v>蓝灯鱼</v>
          </cell>
        </row>
        <row r="8">
          <cell r="A8">
            <v>7</v>
          </cell>
          <cell r="C8">
            <v>30</v>
          </cell>
          <cell r="E8" t="str">
            <v>红杉鱼</v>
          </cell>
        </row>
        <row r="9">
          <cell r="A9">
            <v>8</v>
          </cell>
          <cell r="C9">
            <v>40</v>
          </cell>
          <cell r="E9" t="str">
            <v>海龟</v>
          </cell>
        </row>
        <row r="10">
          <cell r="A10">
            <v>9</v>
          </cell>
          <cell r="C10">
            <v>50</v>
          </cell>
          <cell r="E10" t="str">
            <v>灯笼鱼</v>
          </cell>
        </row>
        <row r="11">
          <cell r="A11">
            <v>10</v>
          </cell>
          <cell r="C11">
            <v>60</v>
          </cell>
          <cell r="E11" t="str">
            <v>魔鬼鱼</v>
          </cell>
        </row>
        <row r="12">
          <cell r="A12">
            <v>11</v>
          </cell>
          <cell r="C12">
            <v>70</v>
          </cell>
          <cell r="E12" t="str">
            <v>大白鲨</v>
          </cell>
        </row>
        <row r="13">
          <cell r="A13">
            <v>12</v>
          </cell>
          <cell r="C13">
            <v>100</v>
          </cell>
          <cell r="E13" t="str">
            <v>锤头鲨</v>
          </cell>
        </row>
        <row r="14">
          <cell r="A14">
            <v>13</v>
          </cell>
          <cell r="C14">
            <v>150</v>
          </cell>
          <cell r="E14" t="str">
            <v>虎鲸</v>
          </cell>
        </row>
        <row r="15">
          <cell r="A15">
            <v>14</v>
          </cell>
          <cell r="C15">
            <v>80</v>
          </cell>
          <cell r="E15" t="str">
            <v>黄金海龟</v>
          </cell>
        </row>
        <row r="16">
          <cell r="A16">
            <v>15</v>
          </cell>
          <cell r="C16">
            <v>100</v>
          </cell>
          <cell r="E16" t="str">
            <v>黄金灯笼鱼</v>
          </cell>
        </row>
        <row r="17">
          <cell r="A17">
            <v>16</v>
          </cell>
          <cell r="C17">
            <v>120</v>
          </cell>
          <cell r="E17" t="str">
            <v>黄金魔鬼鱼</v>
          </cell>
        </row>
        <row r="18">
          <cell r="A18">
            <v>17</v>
          </cell>
          <cell r="C18">
            <v>140</v>
          </cell>
          <cell r="E18" t="str">
            <v>黄金大白鲨</v>
          </cell>
        </row>
        <row r="19">
          <cell r="A19">
            <v>18</v>
          </cell>
          <cell r="C19">
            <v>200</v>
          </cell>
          <cell r="E19" t="str">
            <v>黄金锤头鲨</v>
          </cell>
        </row>
        <row r="20">
          <cell r="A20">
            <v>19</v>
          </cell>
          <cell r="E20" t="str">
            <v>宝箱鱼</v>
          </cell>
        </row>
      </sheetData>
      <sheetData sheetId="9"/>
      <sheetData sheetId="10"/>
      <sheetData sheetId="11"/>
      <sheetData sheetId="12"/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cfg"/>
      <sheetName val="group"/>
      <sheetName val="use_fish"/>
      <sheetName val="activity"/>
      <sheetName val="base_fish"/>
      <sheetName val="path"/>
      <sheetName val="laser"/>
      <sheetName val="gun"/>
      <sheetName val="skill"/>
      <sheetName val="dead_mode"/>
      <sheetName val="box_fish_awar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">
          <cell r="A1" t="str">
            <v>id|在group使用的鱼ID</v>
          </cell>
          <cell r="D1" t="str">
            <v>rate|倍率</v>
          </cell>
        </row>
        <row r="2">
          <cell r="A2">
            <v>1</v>
          </cell>
          <cell r="D2">
            <v>1</v>
          </cell>
        </row>
        <row r="3">
          <cell r="A3">
            <v>2</v>
          </cell>
          <cell r="D3">
            <v>2</v>
          </cell>
        </row>
        <row r="4">
          <cell r="A4">
            <v>3</v>
          </cell>
          <cell r="D4">
            <v>5</v>
          </cell>
        </row>
        <row r="5">
          <cell r="A5">
            <v>4</v>
          </cell>
          <cell r="D5">
            <v>8</v>
          </cell>
        </row>
        <row r="6">
          <cell r="A6">
            <v>5</v>
          </cell>
          <cell r="D6">
            <v>15</v>
          </cell>
        </row>
        <row r="7">
          <cell r="A7">
            <v>6</v>
          </cell>
          <cell r="D7">
            <v>20</v>
          </cell>
        </row>
        <row r="8">
          <cell r="A8">
            <v>7</v>
          </cell>
          <cell r="D8">
            <v>30</v>
          </cell>
        </row>
        <row r="9">
          <cell r="A9">
            <v>8</v>
          </cell>
          <cell r="D9">
            <v>40</v>
          </cell>
        </row>
        <row r="10">
          <cell r="A10">
            <v>9</v>
          </cell>
          <cell r="D10">
            <v>50</v>
          </cell>
        </row>
        <row r="11">
          <cell r="A11">
            <v>10</v>
          </cell>
          <cell r="D11">
            <v>60</v>
          </cell>
        </row>
        <row r="12">
          <cell r="A12">
            <v>11</v>
          </cell>
          <cell r="D12">
            <v>70</v>
          </cell>
        </row>
        <row r="13">
          <cell r="A13">
            <v>12</v>
          </cell>
          <cell r="D13">
            <v>100</v>
          </cell>
        </row>
        <row r="14">
          <cell r="A14">
            <v>13</v>
          </cell>
          <cell r="D14">
            <v>150</v>
          </cell>
        </row>
        <row r="15">
          <cell r="A15">
            <v>14</v>
          </cell>
          <cell r="D15">
            <v>80</v>
          </cell>
        </row>
        <row r="16">
          <cell r="A16">
            <v>15</v>
          </cell>
          <cell r="D16">
            <v>100</v>
          </cell>
        </row>
        <row r="17">
          <cell r="A17">
            <v>16</v>
          </cell>
          <cell r="D17">
            <v>120</v>
          </cell>
        </row>
        <row r="18">
          <cell r="A18">
            <v>17</v>
          </cell>
          <cell r="D18">
            <v>140</v>
          </cell>
        </row>
        <row r="19">
          <cell r="A19">
            <v>18</v>
          </cell>
          <cell r="D19">
            <v>200</v>
          </cell>
        </row>
        <row r="20">
          <cell r="A20">
            <v>19</v>
          </cell>
          <cell r="D20">
            <v>83</v>
          </cell>
        </row>
        <row r="21">
          <cell r="A21">
            <v>20</v>
          </cell>
          <cell r="D21">
            <v>83</v>
          </cell>
        </row>
        <row r="22">
          <cell r="A22">
            <v>21</v>
          </cell>
          <cell r="D22">
            <v>70</v>
          </cell>
        </row>
        <row r="23">
          <cell r="A23">
            <v>22</v>
          </cell>
          <cell r="D23">
            <v>70</v>
          </cell>
        </row>
        <row r="24">
          <cell r="A24">
            <v>23</v>
          </cell>
          <cell r="D24">
            <v>70</v>
          </cell>
        </row>
        <row r="25">
          <cell r="A25">
            <v>24</v>
          </cell>
          <cell r="D25">
            <v>93</v>
          </cell>
        </row>
        <row r="26">
          <cell r="A26">
            <v>25</v>
          </cell>
          <cell r="D26">
            <v>93</v>
          </cell>
        </row>
        <row r="27">
          <cell r="A27">
            <v>26</v>
          </cell>
          <cell r="D27">
            <v>80</v>
          </cell>
        </row>
        <row r="28">
          <cell r="A28">
            <v>27</v>
          </cell>
          <cell r="D28">
            <v>80</v>
          </cell>
        </row>
        <row r="29">
          <cell r="A29">
            <v>28</v>
          </cell>
          <cell r="D29">
            <v>110</v>
          </cell>
        </row>
        <row r="30">
          <cell r="A30">
            <v>29</v>
          </cell>
          <cell r="D30">
            <v>103</v>
          </cell>
        </row>
        <row r="31">
          <cell r="A31">
            <v>30</v>
          </cell>
          <cell r="D31">
            <v>103</v>
          </cell>
        </row>
        <row r="32">
          <cell r="A32">
            <v>31</v>
          </cell>
          <cell r="D32">
            <v>90</v>
          </cell>
        </row>
        <row r="33">
          <cell r="A33">
            <v>32</v>
          </cell>
          <cell r="D33">
            <v>90</v>
          </cell>
        </row>
        <row r="34">
          <cell r="A34">
            <v>33</v>
          </cell>
          <cell r="D34">
            <v>120</v>
          </cell>
        </row>
        <row r="35">
          <cell r="A35">
            <v>34</v>
          </cell>
          <cell r="D35">
            <v>40</v>
          </cell>
        </row>
        <row r="36">
          <cell r="A36">
            <v>35</v>
          </cell>
          <cell r="D36">
            <v>40</v>
          </cell>
        </row>
        <row r="37">
          <cell r="A37">
            <v>36</v>
          </cell>
          <cell r="D37">
            <v>113</v>
          </cell>
        </row>
        <row r="38">
          <cell r="A38">
            <v>37</v>
          </cell>
          <cell r="D38">
            <v>113</v>
          </cell>
        </row>
        <row r="39">
          <cell r="A39">
            <v>38</v>
          </cell>
          <cell r="D39">
            <v>100</v>
          </cell>
        </row>
        <row r="40">
          <cell r="A40">
            <v>39</v>
          </cell>
          <cell r="D40">
            <v>100</v>
          </cell>
        </row>
        <row r="41">
          <cell r="A41">
            <v>40</v>
          </cell>
          <cell r="D41">
            <v>130</v>
          </cell>
        </row>
        <row r="42">
          <cell r="A42">
            <v>41</v>
          </cell>
          <cell r="D42">
            <v>50</v>
          </cell>
        </row>
        <row r="43">
          <cell r="A43">
            <v>42</v>
          </cell>
          <cell r="D43">
            <v>50</v>
          </cell>
        </row>
        <row r="44">
          <cell r="A44">
            <v>43</v>
          </cell>
          <cell r="D44">
            <v>80</v>
          </cell>
        </row>
        <row r="45">
          <cell r="A45">
            <v>44</v>
          </cell>
          <cell r="D45">
            <v>70</v>
          </cell>
        </row>
        <row r="46">
          <cell r="A46">
            <v>45</v>
          </cell>
          <cell r="D46">
            <v>123</v>
          </cell>
        </row>
        <row r="47">
          <cell r="A47">
            <v>46</v>
          </cell>
          <cell r="D47">
            <v>123</v>
          </cell>
        </row>
        <row r="48">
          <cell r="A48">
            <v>47</v>
          </cell>
          <cell r="D48">
            <v>110</v>
          </cell>
        </row>
        <row r="49">
          <cell r="A49">
            <v>48</v>
          </cell>
          <cell r="D49">
            <v>110</v>
          </cell>
        </row>
        <row r="50">
          <cell r="A50">
            <v>49</v>
          </cell>
          <cell r="D50">
            <v>140</v>
          </cell>
        </row>
        <row r="51">
          <cell r="A51">
            <v>50</v>
          </cell>
          <cell r="D51">
            <v>60</v>
          </cell>
        </row>
        <row r="52">
          <cell r="A52">
            <v>51</v>
          </cell>
          <cell r="D52">
            <v>60</v>
          </cell>
        </row>
        <row r="53">
          <cell r="A53">
            <v>52</v>
          </cell>
          <cell r="D53">
            <v>60</v>
          </cell>
        </row>
        <row r="54">
          <cell r="A54">
            <v>53</v>
          </cell>
          <cell r="D54">
            <v>90</v>
          </cell>
        </row>
        <row r="55">
          <cell r="A55">
            <v>54</v>
          </cell>
          <cell r="D55">
            <v>80</v>
          </cell>
        </row>
        <row r="56">
          <cell r="A56">
            <v>55</v>
          </cell>
          <cell r="D56">
            <v>133</v>
          </cell>
        </row>
        <row r="57">
          <cell r="A57">
            <v>56</v>
          </cell>
          <cell r="D57">
            <v>133</v>
          </cell>
        </row>
        <row r="58">
          <cell r="A58">
            <v>57</v>
          </cell>
          <cell r="D58">
            <v>120</v>
          </cell>
        </row>
        <row r="59">
          <cell r="A59">
            <v>58</v>
          </cell>
          <cell r="D59">
            <v>120</v>
          </cell>
        </row>
        <row r="60">
          <cell r="A60">
            <v>59</v>
          </cell>
          <cell r="D60">
            <v>150</v>
          </cell>
        </row>
        <row r="61">
          <cell r="A61">
            <v>60</v>
          </cell>
          <cell r="D61">
            <v>70</v>
          </cell>
        </row>
        <row r="62">
          <cell r="A62">
            <v>61</v>
          </cell>
          <cell r="D62">
            <v>70</v>
          </cell>
        </row>
        <row r="63">
          <cell r="A63">
            <v>62</v>
          </cell>
          <cell r="D63">
            <v>70</v>
          </cell>
        </row>
        <row r="64">
          <cell r="A64">
            <v>63</v>
          </cell>
          <cell r="D64">
            <v>70</v>
          </cell>
        </row>
        <row r="65">
          <cell r="A65">
            <v>64</v>
          </cell>
          <cell r="D65">
            <v>163</v>
          </cell>
        </row>
        <row r="66">
          <cell r="A66">
            <v>65</v>
          </cell>
          <cell r="D66">
            <v>163</v>
          </cell>
        </row>
        <row r="67">
          <cell r="A67">
            <v>66</v>
          </cell>
          <cell r="D67">
            <v>150</v>
          </cell>
        </row>
        <row r="68">
          <cell r="A68">
            <v>67</v>
          </cell>
          <cell r="D68">
            <v>150</v>
          </cell>
        </row>
        <row r="69">
          <cell r="A69">
            <v>68</v>
          </cell>
          <cell r="D69">
            <v>180</v>
          </cell>
        </row>
        <row r="70">
          <cell r="A70">
            <v>69</v>
          </cell>
          <cell r="D70">
            <v>100</v>
          </cell>
        </row>
        <row r="71">
          <cell r="A71">
            <v>70</v>
          </cell>
          <cell r="D71">
            <v>100</v>
          </cell>
        </row>
        <row r="72">
          <cell r="A72">
            <v>71</v>
          </cell>
          <cell r="D72">
            <v>100</v>
          </cell>
        </row>
        <row r="73">
          <cell r="A73">
            <v>72</v>
          </cell>
          <cell r="D73">
            <v>143</v>
          </cell>
        </row>
        <row r="74">
          <cell r="A74">
            <v>73</v>
          </cell>
          <cell r="D74">
            <v>143</v>
          </cell>
        </row>
        <row r="75">
          <cell r="A75">
            <v>74</v>
          </cell>
          <cell r="D75">
            <v>130</v>
          </cell>
        </row>
        <row r="76">
          <cell r="A76">
            <v>75</v>
          </cell>
          <cell r="D76">
            <v>130</v>
          </cell>
        </row>
        <row r="77">
          <cell r="A77">
            <v>76</v>
          </cell>
          <cell r="D77">
            <v>160</v>
          </cell>
        </row>
        <row r="78">
          <cell r="A78">
            <v>77</v>
          </cell>
          <cell r="D78">
            <v>80</v>
          </cell>
        </row>
        <row r="79">
          <cell r="A79">
            <v>78</v>
          </cell>
          <cell r="D79">
            <v>80</v>
          </cell>
        </row>
        <row r="80">
          <cell r="A80">
            <v>79</v>
          </cell>
          <cell r="D80">
            <v>80</v>
          </cell>
        </row>
        <row r="81">
          <cell r="A81">
            <v>80</v>
          </cell>
          <cell r="D81">
            <v>110</v>
          </cell>
        </row>
        <row r="82">
          <cell r="A82">
            <v>81</v>
          </cell>
          <cell r="D82">
            <v>100</v>
          </cell>
        </row>
        <row r="83">
          <cell r="A83">
            <v>82</v>
          </cell>
          <cell r="D83">
            <v>163</v>
          </cell>
        </row>
        <row r="84">
          <cell r="A84">
            <v>83</v>
          </cell>
          <cell r="D84">
            <v>163</v>
          </cell>
        </row>
        <row r="85">
          <cell r="A85">
            <v>84</v>
          </cell>
          <cell r="D85">
            <v>150</v>
          </cell>
        </row>
        <row r="86">
          <cell r="A86">
            <v>85</v>
          </cell>
          <cell r="D86">
            <v>150</v>
          </cell>
        </row>
        <row r="87">
          <cell r="A87">
            <v>86</v>
          </cell>
          <cell r="D87">
            <v>180</v>
          </cell>
        </row>
        <row r="88">
          <cell r="A88">
            <v>87</v>
          </cell>
          <cell r="D88">
            <v>100</v>
          </cell>
        </row>
        <row r="89">
          <cell r="A89">
            <v>88</v>
          </cell>
          <cell r="D89">
            <v>100</v>
          </cell>
        </row>
        <row r="90">
          <cell r="A90">
            <v>89</v>
          </cell>
          <cell r="D90">
            <v>100</v>
          </cell>
        </row>
        <row r="91">
          <cell r="A91">
            <v>90</v>
          </cell>
          <cell r="D91">
            <v>130</v>
          </cell>
        </row>
        <row r="92">
          <cell r="A92">
            <v>91</v>
          </cell>
          <cell r="D92">
            <v>120</v>
          </cell>
        </row>
        <row r="93">
          <cell r="A93">
            <v>92</v>
          </cell>
          <cell r="D93">
            <v>183</v>
          </cell>
        </row>
        <row r="94">
          <cell r="A94">
            <v>93</v>
          </cell>
          <cell r="D94">
            <v>183</v>
          </cell>
        </row>
        <row r="95">
          <cell r="A95">
            <v>94</v>
          </cell>
          <cell r="D95">
            <v>170</v>
          </cell>
        </row>
        <row r="96">
          <cell r="A96">
            <v>95</v>
          </cell>
          <cell r="D96">
            <v>170</v>
          </cell>
        </row>
        <row r="97">
          <cell r="A97">
            <v>96</v>
          </cell>
          <cell r="D97">
            <v>170</v>
          </cell>
        </row>
        <row r="98">
          <cell r="A98">
            <v>97</v>
          </cell>
          <cell r="D98">
            <v>120</v>
          </cell>
        </row>
        <row r="99">
          <cell r="A99">
            <v>98</v>
          </cell>
          <cell r="D99">
            <v>120</v>
          </cell>
        </row>
        <row r="100">
          <cell r="A100">
            <v>99</v>
          </cell>
          <cell r="D100">
            <v>120</v>
          </cell>
        </row>
        <row r="101">
          <cell r="A101">
            <v>100</v>
          </cell>
          <cell r="D101">
            <v>150</v>
          </cell>
        </row>
        <row r="102">
          <cell r="A102">
            <v>101</v>
          </cell>
          <cell r="D102">
            <v>140</v>
          </cell>
        </row>
        <row r="103">
          <cell r="A103">
            <v>102</v>
          </cell>
          <cell r="D103">
            <v>50</v>
          </cell>
        </row>
        <row r="104">
          <cell r="A104">
            <v>103</v>
          </cell>
          <cell r="D104">
            <v>60</v>
          </cell>
        </row>
        <row r="105">
          <cell r="A105">
            <v>104</v>
          </cell>
          <cell r="D105">
            <v>70</v>
          </cell>
        </row>
        <row r="106">
          <cell r="A106">
            <v>105</v>
          </cell>
          <cell r="D106">
            <v>80</v>
          </cell>
        </row>
        <row r="107">
          <cell r="A107">
            <v>106</v>
          </cell>
          <cell r="D107">
            <v>110</v>
          </cell>
        </row>
        <row r="108">
          <cell r="A108">
            <v>107</v>
          </cell>
          <cell r="D108">
            <v>90</v>
          </cell>
        </row>
        <row r="109">
          <cell r="A109">
            <v>108</v>
          </cell>
          <cell r="D109">
            <v>110</v>
          </cell>
        </row>
        <row r="110">
          <cell r="A110">
            <v>109</v>
          </cell>
          <cell r="D110">
            <v>130</v>
          </cell>
        </row>
        <row r="111">
          <cell r="A111">
            <v>110</v>
          </cell>
          <cell r="D111">
            <v>50</v>
          </cell>
        </row>
        <row r="112">
          <cell r="A112">
            <v>111</v>
          </cell>
          <cell r="D112">
            <v>60</v>
          </cell>
        </row>
        <row r="113">
          <cell r="A113">
            <v>112</v>
          </cell>
          <cell r="D113">
            <v>70</v>
          </cell>
        </row>
        <row r="114">
          <cell r="A114">
            <v>113</v>
          </cell>
          <cell r="D114">
            <v>80</v>
          </cell>
        </row>
        <row r="115">
          <cell r="A115">
            <v>114</v>
          </cell>
          <cell r="D115">
            <v>110</v>
          </cell>
        </row>
        <row r="116">
          <cell r="A116">
            <v>115</v>
          </cell>
          <cell r="D116">
            <v>90</v>
          </cell>
        </row>
        <row r="117">
          <cell r="A117">
            <v>116</v>
          </cell>
          <cell r="D117">
            <v>110</v>
          </cell>
        </row>
        <row r="118">
          <cell r="A118">
            <v>117</v>
          </cell>
          <cell r="D118">
            <v>130</v>
          </cell>
        </row>
        <row r="119">
          <cell r="A119">
            <v>118</v>
          </cell>
          <cell r="D119">
            <v>540</v>
          </cell>
        </row>
        <row r="120">
          <cell r="A120">
            <v>119</v>
          </cell>
          <cell r="D120">
            <v>540</v>
          </cell>
        </row>
        <row r="121">
          <cell r="A121">
            <v>120</v>
          </cell>
          <cell r="D121">
            <v>540</v>
          </cell>
        </row>
        <row r="122">
          <cell r="A122">
            <v>121</v>
          </cell>
          <cell r="B122">
            <v>20</v>
          </cell>
          <cell r="D122">
            <v>500</v>
          </cell>
        </row>
      </sheetData>
      <sheetData sheetId="6">
        <row r="1">
          <cell r="A1" t="str">
            <v>id|编号</v>
          </cell>
          <cell r="E1" t="str">
            <v>value|价值</v>
          </cell>
          <cell r="F1" t="str">
            <v>|活动名</v>
          </cell>
        </row>
        <row r="2">
          <cell r="A2">
            <v>1</v>
          </cell>
          <cell r="E2">
            <v>63</v>
          </cell>
          <cell r="F2" t="str">
            <v>免费子弹</v>
          </cell>
        </row>
        <row r="3">
          <cell r="A3">
            <v>2</v>
          </cell>
          <cell r="E3">
            <v>63</v>
          </cell>
          <cell r="F3" t="str">
            <v>威力提升</v>
          </cell>
        </row>
        <row r="4">
          <cell r="A4">
            <v>3</v>
          </cell>
          <cell r="E4">
            <v>63</v>
          </cell>
          <cell r="F4" t="str">
            <v>暴击时刻</v>
          </cell>
        </row>
        <row r="5">
          <cell r="A5">
            <v>4</v>
          </cell>
          <cell r="E5">
            <v>30</v>
          </cell>
          <cell r="F5" t="str">
            <v>炸弹</v>
          </cell>
        </row>
        <row r="6">
          <cell r="A6">
            <v>5</v>
          </cell>
          <cell r="E6">
            <v>50</v>
          </cell>
          <cell r="F6" t="str">
            <v>闪电</v>
          </cell>
        </row>
        <row r="7">
          <cell r="A7">
            <v>6</v>
          </cell>
          <cell r="E7">
            <v>20</v>
          </cell>
          <cell r="F7" t="str">
            <v>炸弹</v>
          </cell>
        </row>
        <row r="8">
          <cell r="A8">
            <v>7</v>
          </cell>
          <cell r="E8">
            <v>50</v>
          </cell>
          <cell r="F8" t="str">
            <v>免费子弹</v>
          </cell>
        </row>
        <row r="9">
          <cell r="A9">
            <v>8</v>
          </cell>
          <cell r="E9">
            <v>63</v>
          </cell>
          <cell r="F9" t="str">
            <v>炸弹</v>
          </cell>
        </row>
        <row r="10">
          <cell r="A10">
            <v>9</v>
          </cell>
          <cell r="E10">
            <v>63</v>
          </cell>
          <cell r="F10" t="str">
            <v>闪电</v>
          </cell>
        </row>
        <row r="11">
          <cell r="A11">
            <v>10</v>
          </cell>
          <cell r="E11">
            <v>50</v>
          </cell>
          <cell r="F11" t="str">
            <v>闪电</v>
          </cell>
        </row>
        <row r="12">
          <cell r="A12">
            <v>11</v>
          </cell>
          <cell r="E12">
            <v>0</v>
          </cell>
          <cell r="F12" t="str">
            <v>锁定卡</v>
          </cell>
        </row>
        <row r="13">
          <cell r="A13">
            <v>12</v>
          </cell>
          <cell r="E13">
            <v>0</v>
          </cell>
          <cell r="F13" t="str">
            <v>锁定卡</v>
          </cell>
        </row>
        <row r="14">
          <cell r="A14">
            <v>13</v>
          </cell>
          <cell r="E14">
            <v>0</v>
          </cell>
          <cell r="F14" t="str">
            <v>冰冻卡</v>
          </cell>
        </row>
        <row r="15">
          <cell r="A15">
            <v>14</v>
          </cell>
          <cell r="E15">
            <v>0</v>
          </cell>
          <cell r="F15" t="str">
            <v>冰冻卡</v>
          </cell>
        </row>
        <row r="16">
          <cell r="A16">
            <v>15</v>
          </cell>
          <cell r="E16">
            <v>10</v>
          </cell>
          <cell r="F16" t="str">
            <v>粽子</v>
          </cell>
        </row>
        <row r="17">
          <cell r="A17">
            <v>16</v>
          </cell>
          <cell r="E17">
            <v>10</v>
          </cell>
          <cell r="F17" t="str">
            <v>粽子</v>
          </cell>
        </row>
        <row r="18">
          <cell r="A18">
            <v>17</v>
          </cell>
          <cell r="E18">
            <v>80</v>
          </cell>
          <cell r="F18" t="str">
            <v>贝壳</v>
          </cell>
        </row>
      </sheetData>
      <sheetData sheetId="7">
        <row r="1">
          <cell r="A1" t="str">
            <v>id|基础鱼的ID</v>
          </cell>
          <cell r="C1" t="str">
            <v>rate|倍率</v>
          </cell>
          <cell r="E1" t="str">
            <v>|鱼名</v>
          </cell>
        </row>
        <row r="2">
          <cell r="A2">
            <v>1</v>
          </cell>
          <cell r="C2">
            <v>1</v>
          </cell>
          <cell r="E2" t="str">
            <v>小黄鱼</v>
          </cell>
        </row>
        <row r="3">
          <cell r="A3">
            <v>2</v>
          </cell>
          <cell r="C3">
            <v>2</v>
          </cell>
          <cell r="E3" t="str">
            <v>小蓝鱼</v>
          </cell>
        </row>
        <row r="4">
          <cell r="A4">
            <v>3</v>
          </cell>
          <cell r="C4">
            <v>5</v>
          </cell>
          <cell r="E4" t="str">
            <v>彩纹鱼</v>
          </cell>
        </row>
        <row r="5">
          <cell r="A5">
            <v>4</v>
          </cell>
          <cell r="C5">
            <v>8</v>
          </cell>
          <cell r="E5" t="str">
            <v>蓝河豚</v>
          </cell>
        </row>
        <row r="6">
          <cell r="A6">
            <v>5</v>
          </cell>
          <cell r="C6">
            <v>15</v>
          </cell>
          <cell r="E6" t="str">
            <v>小丑鱼</v>
          </cell>
        </row>
        <row r="7">
          <cell r="A7">
            <v>6</v>
          </cell>
          <cell r="C7">
            <v>20</v>
          </cell>
          <cell r="E7" t="str">
            <v>蓝灯鱼</v>
          </cell>
        </row>
        <row r="8">
          <cell r="A8">
            <v>7</v>
          </cell>
          <cell r="C8">
            <v>30</v>
          </cell>
          <cell r="E8" t="str">
            <v>红杉鱼</v>
          </cell>
        </row>
        <row r="9">
          <cell r="A9">
            <v>8</v>
          </cell>
          <cell r="C9">
            <v>40</v>
          </cell>
          <cell r="E9" t="str">
            <v>海龟</v>
          </cell>
        </row>
        <row r="10">
          <cell r="A10">
            <v>9</v>
          </cell>
          <cell r="C10">
            <v>50</v>
          </cell>
          <cell r="E10" t="str">
            <v>灯笼鱼</v>
          </cell>
        </row>
        <row r="11">
          <cell r="A11">
            <v>10</v>
          </cell>
          <cell r="C11">
            <v>60</v>
          </cell>
          <cell r="E11" t="str">
            <v>魔鬼鱼</v>
          </cell>
        </row>
        <row r="12">
          <cell r="A12">
            <v>11</v>
          </cell>
          <cell r="C12">
            <v>70</v>
          </cell>
          <cell r="E12" t="str">
            <v>大白鲨</v>
          </cell>
        </row>
        <row r="13">
          <cell r="A13">
            <v>12</v>
          </cell>
          <cell r="C13">
            <v>100</v>
          </cell>
          <cell r="E13" t="str">
            <v>锤头鲨</v>
          </cell>
        </row>
        <row r="14">
          <cell r="A14">
            <v>13</v>
          </cell>
          <cell r="C14">
            <v>150</v>
          </cell>
          <cell r="E14" t="str">
            <v>虎鲸</v>
          </cell>
        </row>
        <row r="15">
          <cell r="A15">
            <v>14</v>
          </cell>
          <cell r="C15">
            <v>80</v>
          </cell>
          <cell r="E15" t="str">
            <v>黄金海龟</v>
          </cell>
        </row>
        <row r="16">
          <cell r="A16">
            <v>15</v>
          </cell>
          <cell r="C16">
            <v>100</v>
          </cell>
          <cell r="E16" t="str">
            <v>黄金灯笼鱼</v>
          </cell>
        </row>
        <row r="17">
          <cell r="A17">
            <v>16</v>
          </cell>
          <cell r="C17">
            <v>120</v>
          </cell>
          <cell r="E17" t="str">
            <v>黄金魔鬼鱼</v>
          </cell>
        </row>
        <row r="18">
          <cell r="A18">
            <v>17</v>
          </cell>
          <cell r="C18">
            <v>140</v>
          </cell>
          <cell r="E18" t="str">
            <v>黄金大白鲨</v>
          </cell>
        </row>
        <row r="19">
          <cell r="A19">
            <v>18</v>
          </cell>
          <cell r="C19">
            <v>200</v>
          </cell>
          <cell r="E19" t="str">
            <v>黄金锤头鲨</v>
          </cell>
        </row>
        <row r="20">
          <cell r="A20">
            <v>19</v>
          </cell>
          <cell r="E20" t="str">
            <v>宝箱鱼</v>
          </cell>
        </row>
        <row r="21">
          <cell r="A21">
            <v>20</v>
          </cell>
          <cell r="C21">
            <v>500</v>
          </cell>
          <cell r="E21" t="str">
            <v>黄金龙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1"/>
  <sheetViews>
    <sheetView workbookViewId="0">
      <selection activeCell="E20" sqref="E20"/>
    </sheetView>
  </sheetViews>
  <sheetFormatPr baseColWidth="10" defaultColWidth="8.83203125" defaultRowHeight="15"/>
  <cols>
    <col min="3" max="3" width="15.5" customWidth="1"/>
    <col min="5" max="5" width="26.83203125" customWidth="1"/>
  </cols>
  <sheetData>
    <row r="1" spans="1:5" s="1" customFormat="1" ht="71.25" customHeight="1">
      <c r="A1" s="1" t="s">
        <v>27</v>
      </c>
      <c r="B1" s="1" t="s">
        <v>28</v>
      </c>
      <c r="C1" s="1" t="s">
        <v>29</v>
      </c>
      <c r="D1" s="1" t="s">
        <v>30</v>
      </c>
      <c r="E1" s="1" t="s">
        <v>244</v>
      </c>
    </row>
    <row r="2" spans="1:5">
      <c r="A2">
        <v>1</v>
      </c>
      <c r="B2" s="6">
        <v>0.02</v>
      </c>
      <c r="C2">
        <v>0.16</v>
      </c>
      <c r="D2" s="7">
        <v>0.03</v>
      </c>
      <c r="E2">
        <v>2</v>
      </c>
    </row>
    <row r="3" spans="1:5">
      <c r="A3">
        <v>2</v>
      </c>
      <c r="B3" s="6">
        <v>0.02</v>
      </c>
      <c r="C3">
        <v>0.16</v>
      </c>
      <c r="D3" s="7">
        <v>0.03</v>
      </c>
      <c r="E3">
        <v>2</v>
      </c>
    </row>
    <row r="4" spans="1:5">
      <c r="A4">
        <v>3</v>
      </c>
      <c r="B4" s="6">
        <v>0.02</v>
      </c>
      <c r="C4">
        <v>0.16</v>
      </c>
      <c r="D4" s="7">
        <v>0.03</v>
      </c>
      <c r="E4">
        <v>2</v>
      </c>
    </row>
    <row r="5" spans="1:5">
      <c r="A5">
        <v>4</v>
      </c>
      <c r="B5" s="6">
        <v>0.02</v>
      </c>
      <c r="C5">
        <v>0.16</v>
      </c>
      <c r="D5" s="7">
        <v>0.03</v>
      </c>
      <c r="E5">
        <v>2</v>
      </c>
    </row>
    <row r="6" spans="1:5">
      <c r="A6">
        <v>5</v>
      </c>
      <c r="B6" s="6">
        <v>0.02</v>
      </c>
      <c r="C6">
        <v>0.16</v>
      </c>
      <c r="D6" s="7">
        <v>0.03</v>
      </c>
      <c r="E6">
        <v>2</v>
      </c>
    </row>
    <row r="7" spans="1:5">
      <c r="A7">
        <v>6</v>
      </c>
      <c r="B7" s="6">
        <v>0.02</v>
      </c>
      <c r="C7">
        <v>0.16</v>
      </c>
      <c r="D7" s="7">
        <v>0.03</v>
      </c>
      <c r="E7">
        <v>2</v>
      </c>
    </row>
    <row r="8" spans="1:5">
      <c r="A8">
        <v>7</v>
      </c>
      <c r="B8" s="6">
        <v>0.02</v>
      </c>
      <c r="C8">
        <v>0.16</v>
      </c>
      <c r="D8" s="7">
        <v>0.03</v>
      </c>
      <c r="E8">
        <v>2</v>
      </c>
    </row>
    <row r="9" spans="1:5">
      <c r="A9">
        <v>8</v>
      </c>
      <c r="B9" s="6">
        <v>0.02</v>
      </c>
      <c r="C9">
        <v>0.16</v>
      </c>
      <c r="D9" s="7">
        <v>0.03</v>
      </c>
      <c r="E9">
        <v>2</v>
      </c>
    </row>
    <row r="10" spans="1:5">
      <c r="A10">
        <v>9</v>
      </c>
      <c r="B10" s="6">
        <v>0.02</v>
      </c>
      <c r="C10">
        <v>0.16</v>
      </c>
      <c r="D10" s="7">
        <v>0.03</v>
      </c>
      <c r="E10">
        <v>2</v>
      </c>
    </row>
    <row r="11" spans="1:5">
      <c r="A11">
        <v>10</v>
      </c>
      <c r="B11" s="6">
        <v>0.02</v>
      </c>
      <c r="C11">
        <v>0.16</v>
      </c>
      <c r="D11" s="7">
        <v>0.03</v>
      </c>
      <c r="E11">
        <v>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11"/>
  <sheetViews>
    <sheetView workbookViewId="0">
      <selection activeCell="D31" sqref="D31"/>
    </sheetView>
  </sheetViews>
  <sheetFormatPr baseColWidth="10" defaultColWidth="8.83203125" defaultRowHeight="15"/>
  <sheetData>
    <row r="1" spans="1:11" ht="60">
      <c r="A1" s="1" t="s">
        <v>24</v>
      </c>
      <c r="B1" s="1" t="s">
        <v>31</v>
      </c>
      <c r="C1" s="1" t="s">
        <v>32</v>
      </c>
      <c r="D1" s="1" t="s">
        <v>33</v>
      </c>
      <c r="E1" s="1" t="s">
        <v>34</v>
      </c>
      <c r="F1" t="s">
        <v>40</v>
      </c>
      <c r="G1" t="s">
        <v>41</v>
      </c>
      <c r="H1" t="s">
        <v>42</v>
      </c>
      <c r="I1" t="s">
        <v>43</v>
      </c>
      <c r="J1" t="s">
        <v>44</v>
      </c>
      <c r="K1" t="s">
        <v>45</v>
      </c>
    </row>
    <row r="2" spans="1:11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8"/>
  <sheetViews>
    <sheetView tabSelected="1" workbookViewId="0">
      <selection activeCell="E10" sqref="E10"/>
    </sheetView>
  </sheetViews>
  <sheetFormatPr baseColWidth="10" defaultColWidth="11" defaultRowHeight="15"/>
  <cols>
    <col min="2" max="3" width="20.6640625" customWidth="1"/>
    <col min="4" max="4" width="14.6640625" customWidth="1"/>
    <col min="5" max="5" width="17.6640625" customWidth="1"/>
    <col min="6" max="6" width="30.6640625" customWidth="1"/>
    <col min="7" max="7" width="19.33203125" customWidth="1"/>
  </cols>
  <sheetData>
    <row r="1" spans="1:7">
      <c r="A1" s="2" t="s">
        <v>24</v>
      </c>
      <c r="B1" s="2" t="s">
        <v>245</v>
      </c>
      <c r="C1" s="2" t="s">
        <v>246</v>
      </c>
      <c r="D1" s="2" t="s">
        <v>247</v>
      </c>
      <c r="E1" s="2" t="s">
        <v>248</v>
      </c>
      <c r="F1" s="2" t="s">
        <v>249</v>
      </c>
      <c r="G1" s="2" t="s">
        <v>250</v>
      </c>
    </row>
    <row r="2" spans="1:7">
      <c r="A2" s="2">
        <v>1</v>
      </c>
      <c r="B2" s="2">
        <v>75</v>
      </c>
      <c r="C2" s="2">
        <v>30</v>
      </c>
      <c r="D2" s="2">
        <v>0.3</v>
      </c>
      <c r="E2" s="2">
        <v>35</v>
      </c>
      <c r="F2" s="2">
        <f>SUM(C2:C8)</f>
        <v>100</v>
      </c>
      <c r="G2" s="2">
        <f>SUM(E2:E8)</f>
        <v>100</v>
      </c>
    </row>
    <row r="3" spans="1:7">
      <c r="A3" s="2">
        <v>2</v>
      </c>
      <c r="B3" s="2">
        <v>60</v>
      </c>
      <c r="C3" s="2">
        <v>30</v>
      </c>
      <c r="D3" s="2">
        <v>0.35</v>
      </c>
      <c r="E3" s="2">
        <v>35</v>
      </c>
      <c r="F3" s="2"/>
      <c r="G3" s="2"/>
    </row>
    <row r="4" spans="1:7">
      <c r="A4" s="2">
        <v>3</v>
      </c>
      <c r="B4" s="2">
        <v>50</v>
      </c>
      <c r="C4" s="2">
        <v>40</v>
      </c>
      <c r="D4" s="2">
        <v>0.3</v>
      </c>
      <c r="E4" s="2">
        <v>30</v>
      </c>
      <c r="F4" s="2"/>
      <c r="G4" s="2"/>
    </row>
    <row r="5" spans="1:7">
      <c r="A5" s="2"/>
      <c r="B5" s="2"/>
      <c r="C5" s="2"/>
      <c r="D5" s="2"/>
      <c r="E5" s="2"/>
      <c r="F5" s="2"/>
      <c r="G5" s="2"/>
    </row>
    <row r="6" spans="1:7">
      <c r="A6" s="2"/>
      <c r="B6" s="2"/>
      <c r="C6" s="2"/>
      <c r="D6" s="2"/>
      <c r="E6" s="2"/>
      <c r="F6" s="2"/>
      <c r="G6" s="2"/>
    </row>
    <row r="7" spans="1:7">
      <c r="A7" s="2"/>
      <c r="B7" s="2"/>
      <c r="C7" s="2"/>
      <c r="D7" s="2"/>
      <c r="E7" s="2"/>
      <c r="F7" s="2"/>
      <c r="G7" s="2"/>
    </row>
    <row r="8" spans="1:7">
      <c r="A8" s="2"/>
      <c r="B8" s="2"/>
      <c r="C8" s="2"/>
      <c r="D8" s="2"/>
      <c r="E8" s="2"/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L10"/>
  <sheetViews>
    <sheetView workbookViewId="0">
      <selection activeCell="D16" sqref="D16"/>
    </sheetView>
  </sheetViews>
  <sheetFormatPr baseColWidth="10" defaultColWidth="8.83203125" defaultRowHeight="15"/>
  <cols>
    <col min="2" max="2" width="19.33203125" customWidth="1"/>
  </cols>
  <sheetData>
    <row r="1" spans="1:12" s="2" customFormat="1" ht="38.25" customHeight="1">
      <c r="A1" s="1" t="s">
        <v>221</v>
      </c>
      <c r="B1" s="1" t="s">
        <v>222</v>
      </c>
      <c r="C1" s="1" t="s">
        <v>223</v>
      </c>
      <c r="D1" s="1" t="s">
        <v>224</v>
      </c>
      <c r="E1" s="1" t="s">
        <v>225</v>
      </c>
      <c r="F1" s="1" t="s">
        <v>282</v>
      </c>
      <c r="G1" s="1"/>
      <c r="H1" s="1"/>
      <c r="I1" s="1"/>
      <c r="J1" s="1"/>
      <c r="K1" s="1"/>
      <c r="L1" s="1"/>
    </row>
    <row r="2" spans="1:12">
      <c r="A2">
        <v>1</v>
      </c>
      <c r="B2" t="s">
        <v>235</v>
      </c>
      <c r="D2">
        <v>3000</v>
      </c>
      <c r="E2">
        <v>4800</v>
      </c>
    </row>
    <row r="3" spans="1:12">
      <c r="A3">
        <v>2</v>
      </c>
      <c r="C3">
        <v>1</v>
      </c>
      <c r="D3">
        <v>560</v>
      </c>
      <c r="E3">
        <v>560</v>
      </c>
    </row>
    <row r="4" spans="1:12">
      <c r="A4">
        <v>3</v>
      </c>
      <c r="C4">
        <v>2</v>
      </c>
      <c r="D4">
        <v>890</v>
      </c>
      <c r="E4">
        <v>890</v>
      </c>
    </row>
    <row r="5" spans="1:12">
      <c r="A5">
        <v>4</v>
      </c>
      <c r="C5">
        <v>3</v>
      </c>
      <c r="D5">
        <v>530</v>
      </c>
      <c r="E5">
        <v>530</v>
      </c>
    </row>
    <row r="6" spans="1:12">
      <c r="A6">
        <v>5</v>
      </c>
      <c r="C6">
        <v>4</v>
      </c>
      <c r="D6">
        <v>650</v>
      </c>
      <c r="E6">
        <v>650</v>
      </c>
    </row>
    <row r="7" spans="1:12">
      <c r="A7">
        <v>6</v>
      </c>
      <c r="C7">
        <v>5</v>
      </c>
      <c r="D7">
        <v>1035</v>
      </c>
      <c r="E7">
        <v>1035</v>
      </c>
    </row>
    <row r="8" spans="1:12">
      <c r="A8">
        <v>7</v>
      </c>
      <c r="C8">
        <v>6</v>
      </c>
      <c r="D8">
        <v>750</v>
      </c>
      <c r="E8">
        <v>750</v>
      </c>
    </row>
    <row r="9" spans="1:12">
      <c r="A9">
        <v>8</v>
      </c>
      <c r="C9">
        <v>7</v>
      </c>
      <c r="D9">
        <v>600</v>
      </c>
      <c r="E9">
        <v>600</v>
      </c>
    </row>
    <row r="10" spans="1:12">
      <c r="A10">
        <v>9</v>
      </c>
      <c r="C10">
        <v>9</v>
      </c>
      <c r="D10">
        <v>550</v>
      </c>
      <c r="E10">
        <v>550</v>
      </c>
      <c r="F10">
        <v>6000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W149"/>
  <sheetViews>
    <sheetView workbookViewId="0">
      <pane ySplit="1" topLeftCell="A137" activePane="bottomLeft" state="frozen"/>
      <selection pane="bottomLeft" activeCell="H153" sqref="H153"/>
    </sheetView>
  </sheetViews>
  <sheetFormatPr baseColWidth="10" defaultColWidth="8.6640625" defaultRowHeight="15" outlineLevelCol="1"/>
  <cols>
    <col min="2" max="2" width="17.1640625" customWidth="1"/>
    <col min="7" max="7" width="10.6640625" customWidth="1"/>
    <col min="8" max="8" width="12" customWidth="1"/>
    <col min="9" max="9" width="29.5" customWidth="1"/>
    <col min="15" max="21" width="8.6640625" customWidth="1" outlineLevel="1"/>
  </cols>
  <sheetData>
    <row r="1" spans="1:23" s="1" customFormat="1" ht="35.25" customHeight="1">
      <c r="A1" s="1" t="s">
        <v>15</v>
      </c>
      <c r="B1" s="1" t="s">
        <v>48</v>
      </c>
      <c r="C1" s="1" t="s">
        <v>18</v>
      </c>
      <c r="D1" s="1" t="s">
        <v>19</v>
      </c>
      <c r="E1" s="1" t="s">
        <v>16</v>
      </c>
      <c r="F1" s="1" t="s">
        <v>17</v>
      </c>
      <c r="G1" s="1" t="s">
        <v>20</v>
      </c>
      <c r="H1" s="1" t="s">
        <v>167</v>
      </c>
      <c r="I1" s="1" t="s">
        <v>283</v>
      </c>
      <c r="J1" s="1" t="s">
        <v>284</v>
      </c>
      <c r="K1" s="1" t="s">
        <v>61</v>
      </c>
      <c r="Q1" s="1" t="s">
        <v>166</v>
      </c>
      <c r="R1" s="1" t="s">
        <v>166</v>
      </c>
      <c r="S1" s="1" t="s">
        <v>166</v>
      </c>
      <c r="T1" s="1" t="s">
        <v>166</v>
      </c>
      <c r="U1" s="1" t="s">
        <v>166</v>
      </c>
      <c r="V1" s="1" t="s">
        <v>166</v>
      </c>
      <c r="W1" s="1" t="s">
        <v>166</v>
      </c>
    </row>
    <row r="2" spans="1:23">
      <c r="A2">
        <v>1</v>
      </c>
      <c r="B2">
        <v>1</v>
      </c>
      <c r="C2" t="s">
        <v>46</v>
      </c>
      <c r="D2" t="s">
        <v>173</v>
      </c>
      <c r="E2" t="s">
        <v>209</v>
      </c>
      <c r="G2" s="2"/>
      <c r="H2">
        <f>SUM(_xlfn.IFNA(LOOKUP(Q2,use_fish!A:A,use_fish!D:D),0),_xlfn.IFNA(LOOKUP(R2,use_fish!A:A,use_fish!D:D),0),_xlfn.IFNA(LOOKUP(S2,use_fish!A:A,use_fish!D:D),0),_xlfn.IFNA(LOOKUP(T2,use_fish!A:A,use_fish!D:D),0),_xlfn.IFNA(LOOKUP(U2,use_fish!A:A,use_fish!D:D),0),_xlfn.IFNA(LOOKUP(V2,use_fish!A:A,use_fish!D:D),0),_xlfn.IFNA(LOOKUP(W2,use_fish!A:A,use_fish!D:D),0),)</f>
        <v>1</v>
      </c>
      <c r="I2" s="2"/>
      <c r="J2" s="2"/>
      <c r="K2" t="s">
        <v>197</v>
      </c>
      <c r="Q2">
        <v>1</v>
      </c>
    </row>
    <row r="3" spans="1:23">
      <c r="A3">
        <v>2</v>
      </c>
      <c r="B3">
        <v>1</v>
      </c>
      <c r="C3" t="s">
        <v>46</v>
      </c>
      <c r="D3" t="s">
        <v>174</v>
      </c>
      <c r="E3" t="s">
        <v>209</v>
      </c>
      <c r="H3">
        <f>SUM(_xlfn.IFNA(LOOKUP(Q3,use_fish!A:A,use_fish!D:D),0),_xlfn.IFNA(LOOKUP(R3,use_fish!A:A,use_fish!D:D),0),_xlfn.IFNA(LOOKUP(S3,use_fish!A:A,use_fish!D:D),0),_xlfn.IFNA(LOOKUP(T3,use_fish!A:A,use_fish!D:D),0),_xlfn.IFNA(LOOKUP(U3,use_fish!A:A,use_fish!D:D),0),_xlfn.IFNA(LOOKUP(V3,use_fish!A:A,use_fish!D:D),0),_xlfn.IFNA(LOOKUP(W3,use_fish!A:A,use_fish!D:D),0),)</f>
        <v>1</v>
      </c>
      <c r="K3" t="s">
        <v>55</v>
      </c>
      <c r="Q3">
        <v>1</v>
      </c>
    </row>
    <row r="4" spans="1:23">
      <c r="A4">
        <v>3</v>
      </c>
      <c r="B4">
        <v>1</v>
      </c>
      <c r="C4" t="s">
        <v>62</v>
      </c>
      <c r="D4" t="s">
        <v>175</v>
      </c>
      <c r="E4" t="s">
        <v>209</v>
      </c>
      <c r="H4">
        <f>SUM(_xlfn.IFNA(LOOKUP(Q4,use_fish!A:A,use_fish!D:D),0),_xlfn.IFNA(LOOKUP(R4,use_fish!A:A,use_fish!D:D),0),_xlfn.IFNA(LOOKUP(S4,use_fish!A:A,use_fish!D:D),0),_xlfn.IFNA(LOOKUP(T4,use_fish!A:A,use_fish!D:D),0),_xlfn.IFNA(LOOKUP(U4,use_fish!A:A,use_fish!D:D),0),_xlfn.IFNA(LOOKUP(V4,use_fish!A:A,use_fish!D:D),0),_xlfn.IFNA(LOOKUP(W4,use_fish!A:A,use_fish!D:D),0),)</f>
        <v>2</v>
      </c>
      <c r="K4" t="str">
        <f t="array" ref="K4">INDEX(use_fish!A:A,SMALL(IF(group!$K$2&amp;IF(ISBLANK($K$3),$K$3,"+"&amp;$K$3)=use_fish!G:G,ROW(use_fish!G:G),4^8),ROW(1:1)))&amp;""</f>
        <v>80</v>
      </c>
      <c r="Q4">
        <v>2</v>
      </c>
    </row>
    <row r="5" spans="1:23">
      <c r="A5">
        <v>4</v>
      </c>
      <c r="B5">
        <v>1</v>
      </c>
      <c r="C5" t="s">
        <v>62</v>
      </c>
      <c r="D5" t="s">
        <v>188</v>
      </c>
      <c r="E5" t="s">
        <v>209</v>
      </c>
      <c r="H5">
        <f>SUM(_xlfn.IFNA(LOOKUP(Q5,use_fish!A:A,use_fish!D:D),0),_xlfn.IFNA(LOOKUP(R5,use_fish!A:A,use_fish!D:D),0),_xlfn.IFNA(LOOKUP(S5,use_fish!A:A,use_fish!D:D),0),_xlfn.IFNA(LOOKUP(T5,use_fish!A:A,use_fish!D:D),0),_xlfn.IFNA(LOOKUP(U5,use_fish!A:A,use_fish!D:D),0),_xlfn.IFNA(LOOKUP(V5,use_fish!A:A,use_fish!D:D),0),_xlfn.IFNA(LOOKUP(W5,use_fish!A:A,use_fish!D:D),0),)</f>
        <v>2</v>
      </c>
      <c r="K5" t="str">
        <f t="array" ref="K5">INDEX(use_fish!A:A,SMALL(IF(group!$K$2&amp;IF(ISBLANK($K$3),$K$3,"+"&amp;$K$3)=use_fish!G:G,ROW(use_fish!G:G),4^8),ROW(2:2)))&amp;""</f>
        <v>81</v>
      </c>
      <c r="Q5">
        <v>2</v>
      </c>
    </row>
    <row r="6" spans="1:23">
      <c r="A6">
        <v>5</v>
      </c>
      <c r="B6">
        <v>1</v>
      </c>
      <c r="C6" t="s">
        <v>47</v>
      </c>
      <c r="E6" t="s">
        <v>209</v>
      </c>
      <c r="H6">
        <f>SUM(_xlfn.IFNA(LOOKUP(Q6,use_fish!A:A,use_fish!D:D),0),_xlfn.IFNA(LOOKUP(R6,use_fish!A:A,use_fish!D:D),0),_xlfn.IFNA(LOOKUP(S6,use_fish!A:A,use_fish!D:D),0),_xlfn.IFNA(LOOKUP(T6,use_fish!A:A,use_fish!D:D),0),_xlfn.IFNA(LOOKUP(U6,use_fish!A:A,use_fish!D:D),0),_xlfn.IFNA(LOOKUP(V6,use_fish!A:A,use_fish!D:D),0),_xlfn.IFNA(LOOKUP(W6,use_fish!A:A,use_fish!D:D),0),)</f>
        <v>5</v>
      </c>
      <c r="K6" t="str">
        <f t="array" ref="K6">INDEX(use_fish!A:A,SMALL(IF(group!$K$2&amp;IF(ISBLANK($K$3),$K$3,"+"&amp;$K$3)=use_fish!G:G,ROW(use_fish!G:G),4^8),ROW(3:3)))&amp;""</f>
        <v/>
      </c>
      <c r="Q6">
        <v>3</v>
      </c>
    </row>
    <row r="7" spans="1:23">
      <c r="A7">
        <v>6</v>
      </c>
      <c r="B7">
        <v>1</v>
      </c>
      <c r="C7" t="s">
        <v>63</v>
      </c>
      <c r="D7" t="s">
        <v>176</v>
      </c>
      <c r="E7" t="s">
        <v>209</v>
      </c>
      <c r="H7">
        <f>SUM(_xlfn.IFNA(LOOKUP(Q7,use_fish!A:A,use_fish!D:D),0),_xlfn.IFNA(LOOKUP(R7,use_fish!A:A,use_fish!D:D),0),_xlfn.IFNA(LOOKUP(S7,use_fish!A:A,use_fish!D:D),0),_xlfn.IFNA(LOOKUP(T7,use_fish!A:A,use_fish!D:D),0),_xlfn.IFNA(LOOKUP(U7,use_fish!A:A,use_fish!D:D),0),_xlfn.IFNA(LOOKUP(V7,use_fish!A:A,use_fish!D:D),0),_xlfn.IFNA(LOOKUP(W7,use_fish!A:A,use_fish!D:D),0),)</f>
        <v>5</v>
      </c>
      <c r="K7" t="str">
        <f t="array" ref="K7">INDEX(use_fish!A:A,SMALL(IF(group!$K$2&amp;IF(ISBLANK($K$3),$K$3,"+"&amp;$K$3)=use_fish!G:G,ROW(use_fish!G:G),4^8),ROW(4:4)))&amp;""</f>
        <v/>
      </c>
      <c r="Q7">
        <v>3</v>
      </c>
    </row>
    <row r="8" spans="1:23">
      <c r="A8">
        <v>7</v>
      </c>
      <c r="B8">
        <v>2</v>
      </c>
      <c r="C8" t="s">
        <v>46</v>
      </c>
      <c r="D8" t="s">
        <v>177</v>
      </c>
      <c r="E8" t="s">
        <v>209</v>
      </c>
      <c r="F8">
        <v>10</v>
      </c>
      <c r="H8">
        <f>SUM(_xlfn.IFNA(LOOKUP(Q8,use_fish!A:A,use_fish!D:D),0),_xlfn.IFNA(LOOKUP(R8,use_fish!A:A,use_fish!D:D),0),_xlfn.IFNA(LOOKUP(S8,use_fish!A:A,use_fish!D:D),0),_xlfn.IFNA(LOOKUP(T8,use_fish!A:A,use_fish!D:D),0),_xlfn.IFNA(LOOKUP(U8,use_fish!A:A,use_fish!D:D),0),_xlfn.IFNA(LOOKUP(V8,use_fish!A:A,use_fish!D:D),0),_xlfn.IFNA(LOOKUP(W8,use_fish!A:A,use_fish!D:D),0),)</f>
        <v>1</v>
      </c>
      <c r="K8" t="str">
        <f t="array" ref="K8">INDEX(use_fish!A:A,SMALL(IF(group!$K$2&amp;IF(ISBLANK($K$3),$K$3,"+"&amp;$K$3)=use_fish!G:G,ROW(use_fish!G:G),4^8),ROW(5:5)))&amp;""</f>
        <v/>
      </c>
      <c r="Q8">
        <v>1</v>
      </c>
    </row>
    <row r="9" spans="1:23">
      <c r="A9">
        <v>8</v>
      </c>
      <c r="B9">
        <v>2</v>
      </c>
      <c r="C9" t="s">
        <v>46</v>
      </c>
      <c r="D9" t="s">
        <v>174</v>
      </c>
      <c r="E9" t="s">
        <v>209</v>
      </c>
      <c r="F9">
        <v>10</v>
      </c>
      <c r="H9">
        <f>SUM(_xlfn.IFNA(LOOKUP(Q9,use_fish!A:A,use_fish!D:D),0),_xlfn.IFNA(LOOKUP(R9,use_fish!A:A,use_fish!D:D),0),_xlfn.IFNA(LOOKUP(S9,use_fish!A:A,use_fish!D:D),0),_xlfn.IFNA(LOOKUP(T9,use_fish!A:A,use_fish!D:D),0),_xlfn.IFNA(LOOKUP(U9,use_fish!A:A,use_fish!D:D),0),_xlfn.IFNA(LOOKUP(V9,use_fish!A:A,use_fish!D:D),0),_xlfn.IFNA(LOOKUP(W9,use_fish!A:A,use_fish!D:D),0),)</f>
        <v>1</v>
      </c>
      <c r="K9" t="str">
        <f t="array" ref="K9">INDEX(use_fish!A:A,SMALL(IF(group!$K$2&amp;IF(ISBLANK($K$3),$K$3,"+"&amp;$K$3)=use_fish!G:G,ROW(use_fish!G:G),4^8),ROW(6:6)))&amp;""</f>
        <v/>
      </c>
      <c r="Q9">
        <v>1</v>
      </c>
    </row>
    <row r="10" spans="1:23">
      <c r="A10">
        <v>9</v>
      </c>
      <c r="B10">
        <v>2</v>
      </c>
      <c r="C10" t="s">
        <v>62</v>
      </c>
      <c r="D10" t="s">
        <v>178</v>
      </c>
      <c r="E10" t="s">
        <v>209</v>
      </c>
      <c r="F10">
        <v>10</v>
      </c>
      <c r="H10">
        <f>SUM(_xlfn.IFNA(LOOKUP(Q10,use_fish!A:A,use_fish!D:D),0),_xlfn.IFNA(LOOKUP(R10,use_fish!A:A,use_fish!D:D),0),_xlfn.IFNA(LOOKUP(S10,use_fish!A:A,use_fish!D:D),0),_xlfn.IFNA(LOOKUP(T10,use_fish!A:A,use_fish!D:D),0),_xlfn.IFNA(LOOKUP(U10,use_fish!A:A,use_fish!D:D),0),_xlfn.IFNA(LOOKUP(V10,use_fish!A:A,use_fish!D:D),0),_xlfn.IFNA(LOOKUP(W10,use_fish!A:A,use_fish!D:D),0),)</f>
        <v>2</v>
      </c>
      <c r="K10" t="str">
        <f t="array" ref="K10">INDEX(use_fish!A:A,SMALL(IF(group!$K$2&amp;IF(ISBLANK($K$3),$K$3,"+"&amp;$K$3)=use_fish!G:G,ROW(use_fish!G:G),4^8),ROW(7:7)))&amp;""</f>
        <v/>
      </c>
      <c r="Q10">
        <v>2</v>
      </c>
    </row>
    <row r="11" spans="1:23">
      <c r="A11">
        <v>10</v>
      </c>
      <c r="B11">
        <v>2</v>
      </c>
      <c r="C11" t="s">
        <v>62</v>
      </c>
      <c r="D11" t="s">
        <v>179</v>
      </c>
      <c r="E11" t="s">
        <v>209</v>
      </c>
      <c r="F11">
        <v>10</v>
      </c>
      <c r="H11">
        <f>SUM(_xlfn.IFNA(LOOKUP(Q11,use_fish!A:A,use_fish!D:D),0),_xlfn.IFNA(LOOKUP(R11,use_fish!A:A,use_fish!D:D),0),_xlfn.IFNA(LOOKUP(S11,use_fish!A:A,use_fish!D:D),0),_xlfn.IFNA(LOOKUP(T11,use_fish!A:A,use_fish!D:D),0),_xlfn.IFNA(LOOKUP(U11,use_fish!A:A,use_fish!D:D),0),_xlfn.IFNA(LOOKUP(V11,use_fish!A:A,use_fish!D:D),0),_xlfn.IFNA(LOOKUP(W11,use_fish!A:A,use_fish!D:D),0),)</f>
        <v>2</v>
      </c>
      <c r="K11" t="str">
        <f t="array" ref="K11">INDEX(use_fish!A:A,SMALL(IF(group!$K$2&amp;IF(ISBLANK($K$3),$K$3,"+"&amp;$K$3)=use_fish!G:G,ROW(use_fish!G:G),4^8),ROW(8:8)))&amp;""</f>
        <v/>
      </c>
      <c r="Q11">
        <v>2</v>
      </c>
    </row>
    <row r="12" spans="1:23">
      <c r="A12">
        <v>11</v>
      </c>
      <c r="B12">
        <v>2</v>
      </c>
      <c r="C12" t="s">
        <v>47</v>
      </c>
      <c r="D12" t="s">
        <v>175</v>
      </c>
      <c r="E12" t="s">
        <v>209</v>
      </c>
      <c r="F12">
        <v>10</v>
      </c>
      <c r="H12">
        <f>SUM(_xlfn.IFNA(LOOKUP(Q12,use_fish!A:A,use_fish!D:D),0),_xlfn.IFNA(LOOKUP(R12,use_fish!A:A,use_fish!D:D),0),_xlfn.IFNA(LOOKUP(S12,use_fish!A:A,use_fish!D:D),0),_xlfn.IFNA(LOOKUP(T12,use_fish!A:A,use_fish!D:D),0),_xlfn.IFNA(LOOKUP(U12,use_fish!A:A,use_fish!D:D),0),_xlfn.IFNA(LOOKUP(V12,use_fish!A:A,use_fish!D:D),0),_xlfn.IFNA(LOOKUP(W12,use_fish!A:A,use_fish!D:D),0),)</f>
        <v>5</v>
      </c>
      <c r="K12" t="str">
        <f t="array" ref="K12">INDEX(use_fish!A:A,SMALL(IF(group!$K$2&amp;IF(ISBLANK($K$3),$K$3,"+"&amp;$K$3)=use_fish!G:G,ROW(use_fish!G:G),4^8),ROW(9:9)))&amp;""</f>
        <v/>
      </c>
      <c r="Q12">
        <v>3</v>
      </c>
    </row>
    <row r="13" spans="1:23">
      <c r="A13">
        <v>12</v>
      </c>
      <c r="B13">
        <v>2</v>
      </c>
      <c r="C13" t="s">
        <v>64</v>
      </c>
      <c r="D13" t="s">
        <v>62</v>
      </c>
      <c r="E13" t="s">
        <v>209</v>
      </c>
      <c r="F13">
        <v>20</v>
      </c>
      <c r="H13">
        <f>SUM(_xlfn.IFNA(LOOKUP(Q13,use_fish!A:A,use_fish!D:D),0),_xlfn.IFNA(LOOKUP(R13,use_fish!A:A,use_fish!D:D),0),_xlfn.IFNA(LOOKUP(S13,use_fish!A:A,use_fish!D:D),0),_xlfn.IFNA(LOOKUP(T13,use_fish!A:A,use_fish!D:D),0),_xlfn.IFNA(LOOKUP(U13,use_fish!A:A,use_fish!D:D),0),_xlfn.IFNA(LOOKUP(V13,use_fish!A:A,use_fish!D:D),0),_xlfn.IFNA(LOOKUP(W13,use_fish!A:A,use_fish!D:D),0),)</f>
        <v>8</v>
      </c>
      <c r="Q13">
        <v>4</v>
      </c>
    </row>
    <row r="14" spans="1:23">
      <c r="A14">
        <v>13</v>
      </c>
      <c r="B14">
        <v>2</v>
      </c>
      <c r="C14" t="s">
        <v>174</v>
      </c>
      <c r="D14" t="s">
        <v>62</v>
      </c>
      <c r="E14" t="s">
        <v>209</v>
      </c>
      <c r="F14">
        <v>20</v>
      </c>
      <c r="H14">
        <f>SUM(_xlfn.IFNA(LOOKUP(Q14,use_fish!A:A,use_fish!D:D),0),_xlfn.IFNA(LOOKUP(R14,use_fish!A:A,use_fish!D:D),0),_xlfn.IFNA(LOOKUP(S14,use_fish!A:A,use_fish!D:D),0),_xlfn.IFNA(LOOKUP(T14,use_fish!A:A,use_fish!D:D),0),_xlfn.IFNA(LOOKUP(U14,use_fish!A:A,use_fish!D:D),0),_xlfn.IFNA(LOOKUP(V14,use_fish!A:A,use_fish!D:D),0),_xlfn.IFNA(LOOKUP(W14,use_fish!A:A,use_fish!D:D),0),)</f>
        <v>15</v>
      </c>
      <c r="Q14">
        <v>5</v>
      </c>
    </row>
    <row r="15" spans="1:23">
      <c r="A15">
        <v>14</v>
      </c>
      <c r="B15">
        <v>2</v>
      </c>
      <c r="C15" t="s">
        <v>49</v>
      </c>
      <c r="D15" t="s">
        <v>62</v>
      </c>
      <c r="E15" t="s">
        <v>209</v>
      </c>
      <c r="F15">
        <v>20</v>
      </c>
      <c r="H15">
        <f>SUM(_xlfn.IFNA(LOOKUP(Q15,use_fish!A:A,use_fish!D:D),0),_xlfn.IFNA(LOOKUP(R15,use_fish!A:A,use_fish!D:D),0),_xlfn.IFNA(LOOKUP(S15,use_fish!A:A,use_fish!D:D),0),_xlfn.IFNA(LOOKUP(T15,use_fish!A:A,use_fish!D:D),0),_xlfn.IFNA(LOOKUP(U15,use_fish!A:A,use_fish!D:D),0),_xlfn.IFNA(LOOKUP(V15,use_fish!A:A,use_fish!D:D),0),_xlfn.IFNA(LOOKUP(W15,use_fish!A:A,use_fish!D:D),0),)</f>
        <v>20</v>
      </c>
      <c r="Q15">
        <v>6</v>
      </c>
    </row>
    <row r="16" spans="1:23">
      <c r="A16">
        <v>15</v>
      </c>
      <c r="B16">
        <v>2</v>
      </c>
      <c r="C16" t="s">
        <v>65</v>
      </c>
      <c r="D16" t="s">
        <v>62</v>
      </c>
      <c r="E16" t="s">
        <v>209</v>
      </c>
      <c r="F16">
        <v>20</v>
      </c>
      <c r="H16">
        <f>SUM(_xlfn.IFNA(LOOKUP(Q16,use_fish!A:A,use_fish!D:D),0),_xlfn.IFNA(LOOKUP(R16,use_fish!A:A,use_fish!D:D),0),_xlfn.IFNA(LOOKUP(S16,use_fish!A:A,use_fish!D:D),0),_xlfn.IFNA(LOOKUP(T16,use_fish!A:A,use_fish!D:D),0),_xlfn.IFNA(LOOKUP(U16,use_fish!A:A,use_fish!D:D),0),_xlfn.IFNA(LOOKUP(V16,use_fish!A:A,use_fish!D:D),0),_xlfn.IFNA(LOOKUP(W16,use_fish!A:A,use_fish!D:D),0),)</f>
        <v>30</v>
      </c>
      <c r="Q16">
        <v>7</v>
      </c>
    </row>
    <row r="17" spans="1:17">
      <c r="A17">
        <v>16</v>
      </c>
      <c r="B17">
        <v>2</v>
      </c>
      <c r="C17" t="s">
        <v>66</v>
      </c>
      <c r="D17" t="s">
        <v>62</v>
      </c>
      <c r="E17" t="s">
        <v>209</v>
      </c>
      <c r="F17">
        <v>20</v>
      </c>
      <c r="H17">
        <f>SUM(_xlfn.IFNA(LOOKUP(Q17,use_fish!A:A,use_fish!D:D),0),_xlfn.IFNA(LOOKUP(R17,use_fish!A:A,use_fish!D:D),0),_xlfn.IFNA(LOOKUP(S17,use_fish!A:A,use_fish!D:D),0),_xlfn.IFNA(LOOKUP(T17,use_fish!A:A,use_fish!D:D),0),_xlfn.IFNA(LOOKUP(U17,use_fish!A:A,use_fish!D:D),0),_xlfn.IFNA(LOOKUP(V17,use_fish!A:A,use_fish!D:D),0),_xlfn.IFNA(LOOKUP(W17,use_fish!A:A,use_fish!D:D),0),)</f>
        <v>40</v>
      </c>
      <c r="Q17">
        <v>8</v>
      </c>
    </row>
    <row r="18" spans="1:17">
      <c r="A18">
        <v>17</v>
      </c>
      <c r="B18">
        <v>2</v>
      </c>
      <c r="C18" t="s">
        <v>67</v>
      </c>
      <c r="D18" t="s">
        <v>62</v>
      </c>
      <c r="E18" t="s">
        <v>209</v>
      </c>
      <c r="F18">
        <v>20</v>
      </c>
      <c r="H18">
        <f>SUM(_xlfn.IFNA(LOOKUP(Q18,use_fish!A:A,use_fish!D:D),0),_xlfn.IFNA(LOOKUP(R18,use_fish!A:A,use_fish!D:D),0),_xlfn.IFNA(LOOKUP(S18,use_fish!A:A,use_fish!D:D),0),_xlfn.IFNA(LOOKUP(T18,use_fish!A:A,use_fish!D:D),0),_xlfn.IFNA(LOOKUP(U18,use_fish!A:A,use_fish!D:D),0),_xlfn.IFNA(LOOKUP(V18,use_fish!A:A,use_fish!D:D),0),_xlfn.IFNA(LOOKUP(W18,use_fish!A:A,use_fish!D:D),0),)</f>
        <v>50</v>
      </c>
      <c r="Q18">
        <v>9</v>
      </c>
    </row>
    <row r="19" spans="1:17">
      <c r="A19">
        <v>18</v>
      </c>
      <c r="B19">
        <v>1</v>
      </c>
      <c r="C19" t="s">
        <v>64</v>
      </c>
      <c r="E19" t="s">
        <v>209</v>
      </c>
      <c r="H19">
        <f>SUM(_xlfn.IFNA(LOOKUP(Q19,use_fish!A:A,use_fish!D:D),0),_xlfn.IFNA(LOOKUP(R19,use_fish!A:A,use_fish!D:D),0),_xlfn.IFNA(LOOKUP(S19,use_fish!A:A,use_fish!D:D),0),_xlfn.IFNA(LOOKUP(T19,use_fish!A:A,use_fish!D:D),0),_xlfn.IFNA(LOOKUP(U19,use_fish!A:A,use_fish!D:D),0),_xlfn.IFNA(LOOKUP(V19,use_fish!A:A,use_fish!D:D),0),_xlfn.IFNA(LOOKUP(W19,use_fish!A:A,use_fish!D:D),0),)</f>
        <v>8</v>
      </c>
      <c r="K19" t="str">
        <f t="array" ref="K19">INDEX(use_fish!A:A,SMALL(IF(group!$K$2&amp;IF(ISBLANK($K$3),$K$3,"+"&amp;$K$3)=use_fish!G:G,ROW(use_fish!G:G),4^8),ROW(10:10)))&amp;""</f>
        <v/>
      </c>
      <c r="Q19">
        <v>4</v>
      </c>
    </row>
    <row r="20" spans="1:17">
      <c r="A20">
        <v>19</v>
      </c>
      <c r="B20">
        <v>1</v>
      </c>
      <c r="C20" t="s">
        <v>189</v>
      </c>
      <c r="E20" t="s">
        <v>209</v>
      </c>
      <c r="H20">
        <f>SUM(_xlfn.IFNA(LOOKUP(Q20,use_fish!A:A,use_fish!D:D),0),_xlfn.IFNA(LOOKUP(R20,use_fish!A:A,use_fish!D:D),0),_xlfn.IFNA(LOOKUP(S20,use_fish!A:A,use_fish!D:D),0),_xlfn.IFNA(LOOKUP(T20,use_fish!A:A,use_fish!D:D),0),_xlfn.IFNA(LOOKUP(U20,use_fish!A:A,use_fish!D:D),0),_xlfn.IFNA(LOOKUP(V20,use_fish!A:A,use_fish!D:D),0),_xlfn.IFNA(LOOKUP(W20,use_fish!A:A,use_fish!D:D),0),)</f>
        <v>15</v>
      </c>
      <c r="K20" t="str">
        <f t="array" ref="K20">INDEX(use_fish!A:A,SMALL(IF(group!$K$2&amp;IF(ISBLANK($K$3),$K$3,"+"&amp;$K$3)=use_fish!G:G,ROW(use_fish!G:G),4^8),ROW(11:11)))&amp;""</f>
        <v/>
      </c>
      <c r="Q20">
        <v>5</v>
      </c>
    </row>
    <row r="21" spans="1:17">
      <c r="A21">
        <v>20</v>
      </c>
      <c r="B21">
        <v>1</v>
      </c>
      <c r="C21" t="s">
        <v>49</v>
      </c>
      <c r="E21" t="s">
        <v>209</v>
      </c>
      <c r="H21">
        <f>SUM(_xlfn.IFNA(LOOKUP(Q21,use_fish!A:A,use_fish!D:D),0),_xlfn.IFNA(LOOKUP(R21,use_fish!A:A,use_fish!D:D),0),_xlfn.IFNA(LOOKUP(S21,use_fish!A:A,use_fish!D:D),0),_xlfn.IFNA(LOOKUP(T21,use_fish!A:A,use_fish!D:D),0),_xlfn.IFNA(LOOKUP(U21,use_fish!A:A,use_fish!D:D),0),_xlfn.IFNA(LOOKUP(V21,use_fish!A:A,use_fish!D:D),0),_xlfn.IFNA(LOOKUP(W21,use_fish!A:A,use_fish!D:D),0),)</f>
        <v>20</v>
      </c>
      <c r="K21" t="str">
        <f t="array" ref="K21">INDEX(use_fish!A:A,SMALL(IF(group!$K$2&amp;IF(ISBLANK($K$3),$K$3,"+"&amp;$K$3)=use_fish!G:G,ROW(use_fish!G:G),4^8),ROW(12:12)))&amp;""</f>
        <v/>
      </c>
      <c r="Q21">
        <v>6</v>
      </c>
    </row>
    <row r="22" spans="1:17">
      <c r="A22">
        <v>21</v>
      </c>
      <c r="B22">
        <v>1</v>
      </c>
      <c r="C22" t="s">
        <v>65</v>
      </c>
      <c r="E22" t="s">
        <v>209</v>
      </c>
      <c r="H22">
        <f>SUM(_xlfn.IFNA(LOOKUP(Q22,use_fish!A:A,use_fish!D:D),0),_xlfn.IFNA(LOOKUP(R22,use_fish!A:A,use_fish!D:D),0),_xlfn.IFNA(LOOKUP(S22,use_fish!A:A,use_fish!D:D),0),_xlfn.IFNA(LOOKUP(T22,use_fish!A:A,use_fish!D:D),0),_xlfn.IFNA(LOOKUP(U22,use_fish!A:A,use_fish!D:D),0),_xlfn.IFNA(LOOKUP(V22,use_fish!A:A,use_fish!D:D),0),_xlfn.IFNA(LOOKUP(W22,use_fish!A:A,use_fish!D:D),0),)</f>
        <v>30</v>
      </c>
      <c r="K22" t="str">
        <f t="array" ref="K22">INDEX(use_fish!A:A,SMALL(IF(group!$K$2&amp;IF(ISBLANK($K$3),$K$3,"+"&amp;$K$3)=use_fish!G:G,ROW(use_fish!G:G),4^8),ROW(19:19)))&amp;""</f>
        <v/>
      </c>
      <c r="Q22">
        <v>7</v>
      </c>
    </row>
    <row r="23" spans="1:17">
      <c r="A23">
        <v>22</v>
      </c>
      <c r="B23">
        <v>1</v>
      </c>
      <c r="C23" t="s">
        <v>66</v>
      </c>
      <c r="E23" t="s">
        <v>209</v>
      </c>
      <c r="H23">
        <f>SUM(_xlfn.IFNA(LOOKUP(Q23,use_fish!A:A,use_fish!D:D),0),_xlfn.IFNA(LOOKUP(R23,use_fish!A:A,use_fish!D:D),0),_xlfn.IFNA(LOOKUP(S23,use_fish!A:A,use_fish!D:D),0),_xlfn.IFNA(LOOKUP(T23,use_fish!A:A,use_fish!D:D),0),_xlfn.IFNA(LOOKUP(U23,use_fish!A:A,use_fish!D:D),0),_xlfn.IFNA(LOOKUP(V23,use_fish!A:A,use_fish!D:D),0),_xlfn.IFNA(LOOKUP(W23,use_fish!A:A,use_fish!D:D),0),)</f>
        <v>40</v>
      </c>
      <c r="K23" t="str">
        <f t="array" ref="K23">INDEX(use_fish!A:A,SMALL(IF(group!$K$2&amp;IF(ISBLANK($K$3),$K$3,"+"&amp;$K$3)=use_fish!G:G,ROW(use_fish!G:G),4^8),ROW(20:20)))&amp;""</f>
        <v/>
      </c>
      <c r="Q23">
        <v>8</v>
      </c>
    </row>
    <row r="24" spans="1:17">
      <c r="A24">
        <v>23</v>
      </c>
      <c r="B24">
        <v>1</v>
      </c>
      <c r="C24" t="s">
        <v>67</v>
      </c>
      <c r="E24" t="s">
        <v>209</v>
      </c>
      <c r="H24">
        <f>SUM(_xlfn.IFNA(LOOKUP(Q24,use_fish!A:A,use_fish!D:D),0),_xlfn.IFNA(LOOKUP(R24,use_fish!A:A,use_fish!D:D),0),_xlfn.IFNA(LOOKUP(S24,use_fish!A:A,use_fish!D:D),0),_xlfn.IFNA(LOOKUP(T24,use_fish!A:A,use_fish!D:D),0),_xlfn.IFNA(LOOKUP(U24,use_fish!A:A,use_fish!D:D),0),_xlfn.IFNA(LOOKUP(V24,use_fish!A:A,use_fish!D:D),0),_xlfn.IFNA(LOOKUP(W24,use_fish!A:A,use_fish!D:D),0),)</f>
        <v>50</v>
      </c>
      <c r="K24" t="str">
        <f t="array" ref="K24">INDEX(use_fish!A:A,SMALL(IF(group!$K$2&amp;IF(ISBLANK($K$3),$K$3,"+"&amp;$K$3)=use_fish!G:G,ROW(use_fish!G:G),4^8),ROW(21:21)))&amp;""</f>
        <v/>
      </c>
      <c r="Q24">
        <v>9</v>
      </c>
    </row>
    <row r="25" spans="1:17">
      <c r="A25">
        <v>24</v>
      </c>
      <c r="B25">
        <v>1</v>
      </c>
      <c r="C25" t="s">
        <v>68</v>
      </c>
      <c r="H25">
        <f>SUM(_xlfn.IFNA(LOOKUP(Q25,use_fish!A:A,use_fish!D:D),0),_xlfn.IFNA(LOOKUP(R25,use_fish!A:A,use_fish!D:D),0),_xlfn.IFNA(LOOKUP(S25,use_fish!A:A,use_fish!D:D),0),_xlfn.IFNA(LOOKUP(T25,use_fish!A:A,use_fish!D:D),0),_xlfn.IFNA(LOOKUP(U25,use_fish!A:A,use_fish!D:D),0),_xlfn.IFNA(LOOKUP(V25,use_fish!A:A,use_fish!D:D),0),_xlfn.IFNA(LOOKUP(W25,use_fish!A:A,use_fish!D:D),0),)</f>
        <v>60</v>
      </c>
      <c r="K25" t="str">
        <f t="array" ref="K25">INDEX(use_fish!A:A,SMALL(IF(group!$K$2&amp;IF(ISBLANK($K$3),$K$3,"+"&amp;$K$3)=use_fish!G:G,ROW(use_fish!G:G),4^8),ROW(22:22)))&amp;""</f>
        <v/>
      </c>
      <c r="Q25">
        <v>10</v>
      </c>
    </row>
    <row r="26" spans="1:17">
      <c r="A26">
        <v>25</v>
      </c>
      <c r="B26">
        <v>1</v>
      </c>
      <c r="C26" t="s">
        <v>69</v>
      </c>
      <c r="H26">
        <f>SUM(_xlfn.IFNA(LOOKUP(Q26,use_fish!A:A,use_fish!D:D),0),_xlfn.IFNA(LOOKUP(R26,use_fish!A:A,use_fish!D:D),0),_xlfn.IFNA(LOOKUP(S26,use_fish!A:A,use_fish!D:D),0),_xlfn.IFNA(LOOKUP(T26,use_fish!A:A,use_fish!D:D),0),_xlfn.IFNA(LOOKUP(U26,use_fish!A:A,use_fish!D:D),0),_xlfn.IFNA(LOOKUP(V26,use_fish!A:A,use_fish!D:D),0),_xlfn.IFNA(LOOKUP(W26,use_fish!A:A,use_fish!D:D),0),)</f>
        <v>70</v>
      </c>
      <c r="K26" t="str">
        <f t="array" ref="K26">INDEX(use_fish!A:A,SMALL(IF(group!$K$2&amp;IF(ISBLANK($K$3),$K$3,"+"&amp;$K$3)=use_fish!G:G,ROW(use_fish!G:G),4^8),ROW(23:23)))&amp;""</f>
        <v/>
      </c>
      <c r="Q26">
        <v>11</v>
      </c>
    </row>
    <row r="27" spans="1:17">
      <c r="A27">
        <v>26</v>
      </c>
      <c r="B27">
        <v>1</v>
      </c>
      <c r="C27" t="s">
        <v>70</v>
      </c>
      <c r="H27">
        <f>SUM(_xlfn.IFNA(LOOKUP(Q27,use_fish!A:A,use_fish!D:D),0),_xlfn.IFNA(LOOKUP(R27,use_fish!A:A,use_fish!D:D),0),_xlfn.IFNA(LOOKUP(S27,use_fish!A:A,use_fish!D:D),0),_xlfn.IFNA(LOOKUP(T27,use_fish!A:A,use_fish!D:D),0),_xlfn.IFNA(LOOKUP(U27,use_fish!A:A,use_fish!D:D),0),_xlfn.IFNA(LOOKUP(V27,use_fish!A:A,use_fish!D:D),0),_xlfn.IFNA(LOOKUP(W27,use_fish!A:A,use_fish!D:D),0),)</f>
        <v>100</v>
      </c>
      <c r="K27" t="str">
        <f t="array" ref="K27">INDEX(use_fish!A:A,SMALL(IF(group!$K$2&amp;IF(ISBLANK($K$3),$K$3,"+"&amp;$K$3)=use_fish!G:G,ROW(use_fish!G:G),4^8),ROW(24:24)))&amp;""</f>
        <v/>
      </c>
      <c r="Q27">
        <v>12</v>
      </c>
    </row>
    <row r="28" spans="1:17">
      <c r="A28">
        <v>27</v>
      </c>
      <c r="B28">
        <v>1</v>
      </c>
      <c r="C28" t="s">
        <v>202</v>
      </c>
      <c r="H28">
        <f>SUM(_xlfn.IFNA(LOOKUP(Q28,use_fish!A:A,use_fish!D:D),0),_xlfn.IFNA(LOOKUP(R28,use_fish!A:A,use_fish!D:D),0),_xlfn.IFNA(LOOKUP(S28,use_fish!A:A,use_fish!D:D),0),_xlfn.IFNA(LOOKUP(T28,use_fish!A:A,use_fish!D:D),0),_xlfn.IFNA(LOOKUP(U28,use_fish!A:A,use_fish!D:D),0),_xlfn.IFNA(LOOKUP(V28,use_fish!A:A,use_fish!D:D),0),_xlfn.IFNA(LOOKUP(W28,use_fish!A:A,use_fish!D:D),0),)</f>
        <v>130</v>
      </c>
      <c r="Q28">
        <v>90</v>
      </c>
    </row>
    <row r="29" spans="1:17">
      <c r="A29">
        <v>28</v>
      </c>
      <c r="B29">
        <v>1</v>
      </c>
      <c r="C29" t="s">
        <v>71</v>
      </c>
      <c r="H29">
        <f>SUM(_xlfn.IFNA(LOOKUP(Q29,use_fish!A:A,use_fish!D:D),0),_xlfn.IFNA(LOOKUP(R29,use_fish!A:A,use_fish!D:D),0),_xlfn.IFNA(LOOKUP(S29,use_fish!A:A,use_fish!D:D),0),_xlfn.IFNA(LOOKUP(T29,use_fish!A:A,use_fish!D:D),0),_xlfn.IFNA(LOOKUP(U29,use_fish!A:A,use_fish!D:D),0),_xlfn.IFNA(LOOKUP(V29,use_fish!A:A,use_fish!D:D),0),_xlfn.IFNA(LOOKUP(W29,use_fish!A:A,use_fish!D:D),0),)</f>
        <v>80</v>
      </c>
      <c r="Q29">
        <v>14</v>
      </c>
    </row>
    <row r="30" spans="1:17">
      <c r="A30">
        <v>29</v>
      </c>
      <c r="B30">
        <v>1</v>
      </c>
      <c r="C30" t="s">
        <v>72</v>
      </c>
      <c r="H30">
        <f>SUM(_xlfn.IFNA(LOOKUP(Q30,use_fish!A:A,use_fish!D:D),0),_xlfn.IFNA(LOOKUP(R30,use_fish!A:A,use_fish!D:D),0),_xlfn.IFNA(LOOKUP(S30,use_fish!A:A,use_fish!D:D),0),_xlfn.IFNA(LOOKUP(T30,use_fish!A:A,use_fish!D:D),0),_xlfn.IFNA(LOOKUP(U30,use_fish!A:A,use_fish!D:D),0),_xlfn.IFNA(LOOKUP(V30,use_fish!A:A,use_fish!D:D),0),_xlfn.IFNA(LOOKUP(W30,use_fish!A:A,use_fish!D:D),0),)</f>
        <v>100</v>
      </c>
      <c r="K30" t="str">
        <f t="array" ref="K30">INDEX(use_fish!A:A,SMALL(IF(group!$K$2&amp;IF(ISBLANK($K$3),$K$3,"+"&amp;$K$3)=use_fish!G:G,ROW(use_fish!G:G),4^8),ROW(27:27)))&amp;""</f>
        <v/>
      </c>
      <c r="Q30">
        <v>15</v>
      </c>
    </row>
    <row r="31" spans="1:17">
      <c r="A31">
        <v>30</v>
      </c>
      <c r="B31">
        <v>1</v>
      </c>
      <c r="C31" t="s">
        <v>73</v>
      </c>
      <c r="H31">
        <f>SUM(_xlfn.IFNA(LOOKUP(Q31,use_fish!A:A,use_fish!D:D),0),_xlfn.IFNA(LOOKUP(R31,use_fish!A:A,use_fish!D:D),0),_xlfn.IFNA(LOOKUP(S31,use_fish!A:A,use_fish!D:D),0),_xlfn.IFNA(LOOKUP(T31,use_fish!A:A,use_fish!D:D),0),_xlfn.IFNA(LOOKUP(U31,use_fish!A:A,use_fish!D:D),0),_xlfn.IFNA(LOOKUP(V31,use_fish!A:A,use_fish!D:D),0),_xlfn.IFNA(LOOKUP(W31,use_fish!A:A,use_fish!D:D),0),)</f>
        <v>120</v>
      </c>
      <c r="K31" t="str">
        <f t="array" ref="K31">INDEX(use_fish!A:A,SMALL(IF(group!$K$2&amp;IF(ISBLANK($K$3),$K$3,"+"&amp;$K$3)=use_fish!G:G,ROW(use_fish!G:G),4^8),ROW(28:28)))&amp;""</f>
        <v/>
      </c>
      <c r="Q31">
        <v>16</v>
      </c>
    </row>
    <row r="32" spans="1:17">
      <c r="A32">
        <v>31</v>
      </c>
      <c r="B32">
        <v>1</v>
      </c>
      <c r="C32" t="s">
        <v>74</v>
      </c>
      <c r="H32">
        <f>SUM(_xlfn.IFNA(LOOKUP(Q32,use_fish!A:A,use_fish!D:D),0),_xlfn.IFNA(LOOKUP(R32,use_fish!A:A,use_fish!D:D),0),_xlfn.IFNA(LOOKUP(S32,use_fish!A:A,use_fish!D:D),0),_xlfn.IFNA(LOOKUP(T32,use_fish!A:A,use_fish!D:D),0),_xlfn.IFNA(LOOKUP(U32,use_fish!A:A,use_fish!D:D),0),_xlfn.IFNA(LOOKUP(V32,use_fish!A:A,use_fish!D:D),0),_xlfn.IFNA(LOOKUP(W32,use_fish!A:A,use_fish!D:D),0),)</f>
        <v>140</v>
      </c>
      <c r="Q32">
        <v>17</v>
      </c>
    </row>
    <row r="33" spans="1:17">
      <c r="A33">
        <v>32</v>
      </c>
      <c r="B33">
        <v>1</v>
      </c>
      <c r="C33" t="s">
        <v>75</v>
      </c>
      <c r="H33">
        <f>SUM(_xlfn.IFNA(LOOKUP(Q33,use_fish!A:A,use_fish!D:D),0),_xlfn.IFNA(LOOKUP(R33,use_fish!A:A,use_fish!D:D),0),_xlfn.IFNA(LOOKUP(S33,use_fish!A:A,use_fish!D:D),0),_xlfn.IFNA(LOOKUP(T33,use_fish!A:A,use_fish!D:D),0),_xlfn.IFNA(LOOKUP(U33,use_fish!A:A,use_fish!D:D),0),_xlfn.IFNA(LOOKUP(V33,use_fish!A:A,use_fish!D:D),0),_xlfn.IFNA(LOOKUP(W33,use_fish!A:A,use_fish!D:D),0),)</f>
        <v>200</v>
      </c>
      <c r="Q33">
        <v>18</v>
      </c>
    </row>
    <row r="34" spans="1:17">
      <c r="A34">
        <v>33</v>
      </c>
      <c r="B34">
        <v>1</v>
      </c>
      <c r="C34" t="s">
        <v>76</v>
      </c>
      <c r="E34" t="s">
        <v>209</v>
      </c>
      <c r="H34">
        <f>SUM(_xlfn.IFNA(LOOKUP(Q34,use_fish!A:A,use_fish!D:D),0),_xlfn.IFNA(LOOKUP(R34,use_fish!A:A,use_fish!D:D),0),_xlfn.IFNA(LOOKUP(S34,use_fish!A:A,use_fish!D:D),0),_xlfn.IFNA(LOOKUP(T34,use_fish!A:A,use_fish!D:D),0),_xlfn.IFNA(LOOKUP(U34,use_fish!A:A,use_fish!D:D),0),_xlfn.IFNA(LOOKUP(V34,use_fish!A:A,use_fish!D:D),0),_xlfn.IFNA(LOOKUP(W34,use_fish!A:A,use_fish!D:D),0),)</f>
        <v>83</v>
      </c>
      <c r="Q34">
        <v>19</v>
      </c>
    </row>
    <row r="35" spans="1:17">
      <c r="A35">
        <v>34</v>
      </c>
      <c r="B35">
        <v>1</v>
      </c>
      <c r="C35" t="s">
        <v>77</v>
      </c>
      <c r="E35" t="s">
        <v>209</v>
      </c>
      <c r="H35">
        <f>SUM(_xlfn.IFNA(LOOKUP(Q35,use_fish!A:A,use_fish!D:D),0),_xlfn.IFNA(LOOKUP(R35,use_fish!A:A,use_fish!D:D),0),_xlfn.IFNA(LOOKUP(S35,use_fish!A:A,use_fish!D:D),0),_xlfn.IFNA(LOOKUP(T35,use_fish!A:A,use_fish!D:D),0),_xlfn.IFNA(LOOKUP(U35,use_fish!A:A,use_fish!D:D),0),_xlfn.IFNA(LOOKUP(V35,use_fish!A:A,use_fish!D:D),0),_xlfn.IFNA(LOOKUP(W35,use_fish!A:A,use_fish!D:D),0),)</f>
        <v>83</v>
      </c>
      <c r="Q35">
        <v>20</v>
      </c>
    </row>
    <row r="36" spans="1:17">
      <c r="A36">
        <v>35</v>
      </c>
      <c r="B36">
        <v>1</v>
      </c>
      <c r="C36" t="s">
        <v>78</v>
      </c>
      <c r="E36" t="s">
        <v>209</v>
      </c>
      <c r="H36">
        <f>SUM(_xlfn.IFNA(LOOKUP(Q36,use_fish!A:A,use_fish!D:D),0),_xlfn.IFNA(LOOKUP(R36,use_fish!A:A,use_fish!D:D),0),_xlfn.IFNA(LOOKUP(S36,use_fish!A:A,use_fish!D:D),0),_xlfn.IFNA(LOOKUP(T36,use_fish!A:A,use_fish!D:D),0),_xlfn.IFNA(LOOKUP(U36,use_fish!A:A,use_fish!D:D),0),_xlfn.IFNA(LOOKUP(V36,use_fish!A:A,use_fish!D:D),0),_xlfn.IFNA(LOOKUP(W36,use_fish!A:A,use_fish!D:D),0),)</f>
        <v>70</v>
      </c>
      <c r="Q36">
        <v>21</v>
      </c>
    </row>
    <row r="37" spans="1:17">
      <c r="A37">
        <v>36</v>
      </c>
      <c r="B37">
        <v>1</v>
      </c>
      <c r="C37" t="s">
        <v>79</v>
      </c>
      <c r="E37" t="s">
        <v>209</v>
      </c>
      <c r="H37">
        <f>SUM(_xlfn.IFNA(LOOKUP(Q37,use_fish!A:A,use_fish!D:D),0),_xlfn.IFNA(LOOKUP(R37,use_fish!A:A,use_fish!D:D),0),_xlfn.IFNA(LOOKUP(S37,use_fish!A:A,use_fish!D:D),0),_xlfn.IFNA(LOOKUP(T37,use_fish!A:A,use_fish!D:D),0),_xlfn.IFNA(LOOKUP(U37,use_fish!A:A,use_fish!D:D),0),_xlfn.IFNA(LOOKUP(V37,use_fish!A:A,use_fish!D:D),0),_xlfn.IFNA(LOOKUP(W37,use_fish!A:A,use_fish!D:D),0),)</f>
        <v>70</v>
      </c>
      <c r="Q37">
        <v>22</v>
      </c>
    </row>
    <row r="38" spans="1:17">
      <c r="A38">
        <v>37</v>
      </c>
      <c r="B38">
        <v>1</v>
      </c>
      <c r="C38" t="s">
        <v>80</v>
      </c>
      <c r="E38" t="s">
        <v>209</v>
      </c>
      <c r="H38">
        <f>SUM(_xlfn.IFNA(LOOKUP(Q38,use_fish!A:A,use_fish!D:D),0),_xlfn.IFNA(LOOKUP(R38,use_fish!A:A,use_fish!D:D),0),_xlfn.IFNA(LOOKUP(S38,use_fish!A:A,use_fish!D:D),0),_xlfn.IFNA(LOOKUP(T38,use_fish!A:A,use_fish!D:D),0),_xlfn.IFNA(LOOKUP(U38,use_fish!A:A,use_fish!D:D),0),_xlfn.IFNA(LOOKUP(V38,use_fish!A:A,use_fish!D:D),0),_xlfn.IFNA(LOOKUP(W38,use_fish!A:A,use_fish!D:D),0),)</f>
        <v>70</v>
      </c>
      <c r="Q38">
        <v>23</v>
      </c>
    </row>
    <row r="39" spans="1:17">
      <c r="A39">
        <v>38</v>
      </c>
      <c r="B39">
        <v>1</v>
      </c>
      <c r="C39" t="s">
        <v>81</v>
      </c>
      <c r="E39" t="s">
        <v>209</v>
      </c>
      <c r="H39">
        <f>SUM(_xlfn.IFNA(LOOKUP(Q39,use_fish!A:A,use_fish!D:D),0),_xlfn.IFNA(LOOKUP(R39,use_fish!A:A,use_fish!D:D),0),_xlfn.IFNA(LOOKUP(S39,use_fish!A:A,use_fish!D:D),0),_xlfn.IFNA(LOOKUP(T39,use_fish!A:A,use_fish!D:D),0),_xlfn.IFNA(LOOKUP(U39,use_fish!A:A,use_fish!D:D),0),_xlfn.IFNA(LOOKUP(V39,use_fish!A:A,use_fish!D:D),0),_xlfn.IFNA(LOOKUP(W39,use_fish!A:A,use_fish!D:D),0),)</f>
        <v>93</v>
      </c>
      <c r="Q39">
        <v>24</v>
      </c>
    </row>
    <row r="40" spans="1:17">
      <c r="A40">
        <v>39</v>
      </c>
      <c r="B40">
        <v>1</v>
      </c>
      <c r="C40" t="s">
        <v>82</v>
      </c>
      <c r="E40" t="s">
        <v>209</v>
      </c>
      <c r="H40">
        <f>SUM(_xlfn.IFNA(LOOKUP(Q40,use_fish!A:A,use_fish!D:D),0),_xlfn.IFNA(LOOKUP(R40,use_fish!A:A,use_fish!D:D),0),_xlfn.IFNA(LOOKUP(S40,use_fish!A:A,use_fish!D:D),0),_xlfn.IFNA(LOOKUP(T40,use_fish!A:A,use_fish!D:D),0),_xlfn.IFNA(LOOKUP(U40,use_fish!A:A,use_fish!D:D),0),_xlfn.IFNA(LOOKUP(V40,use_fish!A:A,use_fish!D:D),0),_xlfn.IFNA(LOOKUP(W40,use_fish!A:A,use_fish!D:D),0),)</f>
        <v>93</v>
      </c>
      <c r="Q40">
        <v>25</v>
      </c>
    </row>
    <row r="41" spans="1:17">
      <c r="A41">
        <v>40</v>
      </c>
      <c r="B41">
        <v>1</v>
      </c>
      <c r="C41" t="s">
        <v>83</v>
      </c>
      <c r="E41" t="s">
        <v>209</v>
      </c>
      <c r="H41">
        <f>SUM(_xlfn.IFNA(LOOKUP(Q41,use_fish!A:A,use_fish!D:D),0),_xlfn.IFNA(LOOKUP(R41,use_fish!A:A,use_fish!D:D),0),_xlfn.IFNA(LOOKUP(S41,use_fish!A:A,use_fish!D:D),0),_xlfn.IFNA(LOOKUP(T41,use_fish!A:A,use_fish!D:D),0),_xlfn.IFNA(LOOKUP(U41,use_fish!A:A,use_fish!D:D),0),_xlfn.IFNA(LOOKUP(V41,use_fish!A:A,use_fish!D:D),0),_xlfn.IFNA(LOOKUP(W41,use_fish!A:A,use_fish!D:D),0),)</f>
        <v>80</v>
      </c>
      <c r="K41" t="str">
        <f t="array" ref="K41">INDEX(use_fish!A:A,SMALL(IF(group!$K$2&amp;IF(ISBLANK($K$3),$K$3,"+"&amp;$K$3)=use_fish!G:G,ROW(use_fish!G:G),4^8),ROW(38:38)))&amp;""</f>
        <v/>
      </c>
      <c r="Q41">
        <v>26</v>
      </c>
    </row>
    <row r="42" spans="1:17">
      <c r="A42">
        <v>41</v>
      </c>
      <c r="B42">
        <v>1</v>
      </c>
      <c r="C42" t="s">
        <v>84</v>
      </c>
      <c r="E42" t="s">
        <v>209</v>
      </c>
      <c r="H42">
        <f>SUM(_xlfn.IFNA(LOOKUP(Q42,use_fish!A:A,use_fish!D:D),0),_xlfn.IFNA(LOOKUP(R42,use_fish!A:A,use_fish!D:D),0),_xlfn.IFNA(LOOKUP(S42,use_fish!A:A,use_fish!D:D),0),_xlfn.IFNA(LOOKUP(T42,use_fish!A:A,use_fish!D:D),0),_xlfn.IFNA(LOOKUP(U42,use_fish!A:A,use_fish!D:D),0),_xlfn.IFNA(LOOKUP(V42,use_fish!A:A,use_fish!D:D),0),_xlfn.IFNA(LOOKUP(W42,use_fish!A:A,use_fish!D:D),0),)</f>
        <v>80</v>
      </c>
      <c r="K42" t="str">
        <f t="array" ref="K42">INDEX(use_fish!A:A,SMALL(IF(group!$K$2&amp;IF(ISBLANK($K$3),$K$3,"+"&amp;$K$3)=use_fish!G:G,ROW(use_fish!G:G),4^8),ROW(39:39)))&amp;""</f>
        <v/>
      </c>
      <c r="Q42">
        <v>27</v>
      </c>
    </row>
    <row r="43" spans="1:17">
      <c r="A43">
        <v>42</v>
      </c>
      <c r="B43">
        <v>1</v>
      </c>
      <c r="C43" t="s">
        <v>85</v>
      </c>
      <c r="E43" t="s">
        <v>209</v>
      </c>
      <c r="H43">
        <f>SUM(_xlfn.IFNA(LOOKUP(Q43,use_fish!A:A,use_fish!D:D),0),_xlfn.IFNA(LOOKUP(R43,use_fish!A:A,use_fish!D:D),0),_xlfn.IFNA(LOOKUP(S43,use_fish!A:A,use_fish!D:D),0),_xlfn.IFNA(LOOKUP(T43,use_fish!A:A,use_fish!D:D),0),_xlfn.IFNA(LOOKUP(U43,use_fish!A:A,use_fish!D:D),0),_xlfn.IFNA(LOOKUP(V43,use_fish!A:A,use_fish!D:D),0),_xlfn.IFNA(LOOKUP(W43,use_fish!A:A,use_fish!D:D),0),)</f>
        <v>80</v>
      </c>
      <c r="K43" t="str">
        <f t="array" ref="K43">INDEX(use_fish!A:A,SMALL(IF(group!$K$2&amp;IF(ISBLANK($K$3),$K$3,"+"&amp;$K$3)=use_fish!G:G,ROW(use_fish!G:G),4^8),ROW(40:40)))&amp;""</f>
        <v/>
      </c>
      <c r="Q43">
        <v>28</v>
      </c>
    </row>
    <row r="44" spans="1:17">
      <c r="A44">
        <v>43</v>
      </c>
      <c r="B44">
        <v>1</v>
      </c>
      <c r="C44" t="s">
        <v>86</v>
      </c>
      <c r="E44" t="s">
        <v>209</v>
      </c>
      <c r="H44">
        <f>SUM(_xlfn.IFNA(LOOKUP(Q44,use_fish!A:A,use_fish!D:D),0),_xlfn.IFNA(LOOKUP(R44,use_fish!A:A,use_fish!D:D),0),_xlfn.IFNA(LOOKUP(S44,use_fish!A:A,use_fish!D:D),0),_xlfn.IFNA(LOOKUP(T44,use_fish!A:A,use_fish!D:D),0),_xlfn.IFNA(LOOKUP(U44,use_fish!A:A,use_fish!D:D),0),_xlfn.IFNA(LOOKUP(V44,use_fish!A:A,use_fish!D:D),0),_xlfn.IFNA(LOOKUP(W44,use_fish!A:A,use_fish!D:D),0),)</f>
        <v>103</v>
      </c>
      <c r="K44" t="str">
        <f t="array" ref="K44">INDEX(use_fish!A:A,SMALL(IF(group!$K$2&amp;IF(ISBLANK($K$3),$K$3,"+"&amp;$K$3)=use_fish!G:G,ROW(use_fish!G:G),4^8),ROW(41:41)))&amp;""</f>
        <v/>
      </c>
      <c r="Q44">
        <v>29</v>
      </c>
    </row>
    <row r="45" spans="1:17">
      <c r="A45">
        <v>44</v>
      </c>
      <c r="B45">
        <v>1</v>
      </c>
      <c r="C45" t="s">
        <v>87</v>
      </c>
      <c r="E45" t="s">
        <v>209</v>
      </c>
      <c r="H45">
        <f>SUM(_xlfn.IFNA(LOOKUP(Q45,use_fish!A:A,use_fish!D:D),0),_xlfn.IFNA(LOOKUP(R45,use_fish!A:A,use_fish!D:D),0),_xlfn.IFNA(LOOKUP(S45,use_fish!A:A,use_fish!D:D),0),_xlfn.IFNA(LOOKUP(T45,use_fish!A:A,use_fish!D:D),0),_xlfn.IFNA(LOOKUP(U45,use_fish!A:A,use_fish!D:D),0),_xlfn.IFNA(LOOKUP(V45,use_fish!A:A,use_fish!D:D),0),_xlfn.IFNA(LOOKUP(W45,use_fish!A:A,use_fish!D:D),0),)</f>
        <v>103</v>
      </c>
      <c r="Q45">
        <v>30</v>
      </c>
    </row>
    <row r="46" spans="1:17">
      <c r="A46">
        <v>45</v>
      </c>
      <c r="B46">
        <v>1</v>
      </c>
      <c r="C46" t="s">
        <v>88</v>
      </c>
      <c r="H46">
        <f>SUM(_xlfn.IFNA(LOOKUP(Q46,use_fish!A:A,use_fish!D:D),0),_xlfn.IFNA(LOOKUP(R46,use_fish!A:A,use_fish!D:D),0),_xlfn.IFNA(LOOKUP(S46,use_fish!A:A,use_fish!D:D),0),_xlfn.IFNA(LOOKUP(T46,use_fish!A:A,use_fish!D:D),0),_xlfn.IFNA(LOOKUP(U46,use_fish!A:A,use_fish!D:D),0),_xlfn.IFNA(LOOKUP(V46,use_fish!A:A,use_fish!D:D),0),_xlfn.IFNA(LOOKUP(W46,use_fish!A:A,use_fish!D:D),0),)</f>
        <v>90</v>
      </c>
      <c r="Q46">
        <v>31</v>
      </c>
    </row>
    <row r="47" spans="1:17">
      <c r="A47">
        <v>46</v>
      </c>
      <c r="B47">
        <v>1</v>
      </c>
      <c r="C47" t="s">
        <v>89</v>
      </c>
      <c r="H47">
        <f>SUM(_xlfn.IFNA(LOOKUP(Q47,use_fish!A:A,use_fish!D:D),0),_xlfn.IFNA(LOOKUP(R47,use_fish!A:A,use_fish!D:D),0),_xlfn.IFNA(LOOKUP(S47,use_fish!A:A,use_fish!D:D),0),_xlfn.IFNA(LOOKUP(T47,use_fish!A:A,use_fish!D:D),0),_xlfn.IFNA(LOOKUP(U47,use_fish!A:A,use_fish!D:D),0),_xlfn.IFNA(LOOKUP(V47,use_fish!A:A,use_fish!D:D),0),_xlfn.IFNA(LOOKUP(W47,use_fish!A:A,use_fish!D:D),0),)</f>
        <v>90</v>
      </c>
      <c r="Q47">
        <v>32</v>
      </c>
    </row>
    <row r="48" spans="1:17">
      <c r="A48">
        <v>47</v>
      </c>
      <c r="B48">
        <v>1</v>
      </c>
      <c r="C48" t="s">
        <v>90</v>
      </c>
      <c r="H48">
        <f>SUM(_xlfn.IFNA(LOOKUP(Q48,use_fish!A:A,use_fish!D:D),0),_xlfn.IFNA(LOOKUP(R48,use_fish!A:A,use_fish!D:D),0),_xlfn.IFNA(LOOKUP(S48,use_fish!A:A,use_fish!D:D),0),_xlfn.IFNA(LOOKUP(T48,use_fish!A:A,use_fish!D:D),0),_xlfn.IFNA(LOOKUP(U48,use_fish!A:A,use_fish!D:D),0),_xlfn.IFNA(LOOKUP(V48,use_fish!A:A,use_fish!D:D),0),_xlfn.IFNA(LOOKUP(W48,use_fish!A:A,use_fish!D:D),0),)</f>
        <v>90</v>
      </c>
      <c r="Q48">
        <v>33</v>
      </c>
    </row>
    <row r="49" spans="1:17">
      <c r="A49">
        <v>48</v>
      </c>
      <c r="B49">
        <v>1</v>
      </c>
      <c r="C49" t="s">
        <v>91</v>
      </c>
      <c r="H49">
        <f>SUM(_xlfn.IFNA(LOOKUP(Q49,use_fish!A:A,use_fish!D:D),0),_xlfn.IFNA(LOOKUP(R49,use_fish!A:A,use_fish!D:D),0),_xlfn.IFNA(LOOKUP(S49,use_fish!A:A,use_fish!D:D),0),_xlfn.IFNA(LOOKUP(T49,use_fish!A:A,use_fish!D:D),0),_xlfn.IFNA(LOOKUP(U49,use_fish!A:A,use_fish!D:D),0),_xlfn.IFNA(LOOKUP(V49,use_fish!A:A,use_fish!D:D),0),_xlfn.IFNA(LOOKUP(W49,use_fish!A:A,use_fish!D:D),0),)</f>
        <v>40</v>
      </c>
      <c r="Q49">
        <v>34</v>
      </c>
    </row>
    <row r="50" spans="1:17">
      <c r="A50">
        <v>49</v>
      </c>
      <c r="B50">
        <v>1</v>
      </c>
      <c r="C50" t="s">
        <v>92</v>
      </c>
      <c r="H50">
        <f>SUM(_xlfn.IFNA(LOOKUP(Q50,use_fish!A:A,use_fish!D:D),0),_xlfn.IFNA(LOOKUP(R50,use_fish!A:A,use_fish!D:D),0),_xlfn.IFNA(LOOKUP(S50,use_fish!A:A,use_fish!D:D),0),_xlfn.IFNA(LOOKUP(T50,use_fish!A:A,use_fish!D:D),0),_xlfn.IFNA(LOOKUP(U50,use_fish!A:A,use_fish!D:D),0),_xlfn.IFNA(LOOKUP(V50,use_fish!A:A,use_fish!D:D),0),_xlfn.IFNA(LOOKUP(W50,use_fish!A:A,use_fish!D:D),0),)</f>
        <v>40</v>
      </c>
      <c r="Q50">
        <v>35</v>
      </c>
    </row>
    <row r="51" spans="1:17">
      <c r="A51">
        <v>50</v>
      </c>
      <c r="B51">
        <v>1</v>
      </c>
      <c r="C51" t="s">
        <v>93</v>
      </c>
      <c r="H51">
        <f>SUM(_xlfn.IFNA(LOOKUP(Q51,use_fish!A:A,use_fish!D:D),0),_xlfn.IFNA(LOOKUP(R51,use_fish!A:A,use_fish!D:D),0),_xlfn.IFNA(LOOKUP(S51,use_fish!A:A,use_fish!D:D),0),_xlfn.IFNA(LOOKUP(T51,use_fish!A:A,use_fish!D:D),0),_xlfn.IFNA(LOOKUP(U51,use_fish!A:A,use_fish!D:D),0),_xlfn.IFNA(LOOKUP(V51,use_fish!A:A,use_fish!D:D),0),_xlfn.IFNA(LOOKUP(W51,use_fish!A:A,use_fish!D:D),0),)</f>
        <v>113</v>
      </c>
      <c r="Q51">
        <v>36</v>
      </c>
    </row>
    <row r="52" spans="1:17">
      <c r="A52">
        <v>51</v>
      </c>
      <c r="B52">
        <v>1</v>
      </c>
      <c r="C52" t="s">
        <v>94</v>
      </c>
      <c r="H52">
        <f>SUM(_xlfn.IFNA(LOOKUP(Q52,use_fish!A:A,use_fish!D:D),0),_xlfn.IFNA(LOOKUP(R52,use_fish!A:A,use_fish!D:D),0),_xlfn.IFNA(LOOKUP(S52,use_fish!A:A,use_fish!D:D),0),_xlfn.IFNA(LOOKUP(T52,use_fish!A:A,use_fish!D:D),0),_xlfn.IFNA(LOOKUP(U52,use_fish!A:A,use_fish!D:D),0),_xlfn.IFNA(LOOKUP(V52,use_fish!A:A,use_fish!D:D),0),_xlfn.IFNA(LOOKUP(W52,use_fish!A:A,use_fish!D:D),0),)</f>
        <v>113</v>
      </c>
      <c r="Q52">
        <v>37</v>
      </c>
    </row>
    <row r="53" spans="1:17">
      <c r="A53">
        <v>52</v>
      </c>
      <c r="B53">
        <v>1</v>
      </c>
      <c r="C53" t="s">
        <v>95</v>
      </c>
      <c r="H53">
        <f>SUM(_xlfn.IFNA(LOOKUP(Q53,use_fish!A:A,use_fish!D:D),0),_xlfn.IFNA(LOOKUP(R53,use_fish!A:A,use_fish!D:D),0),_xlfn.IFNA(LOOKUP(S53,use_fish!A:A,use_fish!D:D),0),_xlfn.IFNA(LOOKUP(T53,use_fish!A:A,use_fish!D:D),0),_xlfn.IFNA(LOOKUP(U53,use_fish!A:A,use_fish!D:D),0),_xlfn.IFNA(LOOKUP(V53,use_fish!A:A,use_fish!D:D),0),_xlfn.IFNA(LOOKUP(W53,use_fish!A:A,use_fish!D:D),0),)</f>
        <v>100</v>
      </c>
      <c r="Q53">
        <v>38</v>
      </c>
    </row>
    <row r="54" spans="1:17">
      <c r="A54">
        <v>53</v>
      </c>
      <c r="B54">
        <v>1</v>
      </c>
      <c r="C54" t="s">
        <v>96</v>
      </c>
      <c r="H54">
        <f>SUM(_xlfn.IFNA(LOOKUP(Q54,use_fish!A:A,use_fish!D:D),0),_xlfn.IFNA(LOOKUP(R54,use_fish!A:A,use_fish!D:D),0),_xlfn.IFNA(LOOKUP(S54,use_fish!A:A,use_fish!D:D),0),_xlfn.IFNA(LOOKUP(T54,use_fish!A:A,use_fish!D:D),0),_xlfn.IFNA(LOOKUP(U54,use_fish!A:A,use_fish!D:D),0),_xlfn.IFNA(LOOKUP(V54,use_fish!A:A,use_fish!D:D),0),_xlfn.IFNA(LOOKUP(W54,use_fish!A:A,use_fish!D:D),0),)</f>
        <v>100</v>
      </c>
      <c r="Q54">
        <v>39</v>
      </c>
    </row>
    <row r="55" spans="1:17">
      <c r="A55">
        <v>54</v>
      </c>
      <c r="B55">
        <v>1</v>
      </c>
      <c r="C55" t="s">
        <v>97</v>
      </c>
      <c r="H55">
        <f>SUM(_xlfn.IFNA(LOOKUP(Q55,use_fish!A:A,use_fish!D:D),0),_xlfn.IFNA(LOOKUP(R55,use_fish!A:A,use_fish!D:D),0),_xlfn.IFNA(LOOKUP(S55,use_fish!A:A,use_fish!D:D),0),_xlfn.IFNA(LOOKUP(T55,use_fish!A:A,use_fish!D:D),0),_xlfn.IFNA(LOOKUP(U55,use_fish!A:A,use_fish!D:D),0),_xlfn.IFNA(LOOKUP(V55,use_fish!A:A,use_fish!D:D),0),_xlfn.IFNA(LOOKUP(W55,use_fish!A:A,use_fish!D:D),0),)</f>
        <v>100</v>
      </c>
      <c r="Q55">
        <v>40</v>
      </c>
    </row>
    <row r="56" spans="1:17">
      <c r="A56">
        <v>55</v>
      </c>
      <c r="B56">
        <v>1</v>
      </c>
      <c r="C56" t="s">
        <v>98</v>
      </c>
      <c r="H56">
        <f>SUM(_xlfn.IFNA(LOOKUP(Q56,use_fish!A:A,use_fish!D:D),0),_xlfn.IFNA(LOOKUP(R56,use_fish!A:A,use_fish!D:D),0),_xlfn.IFNA(LOOKUP(S56,use_fish!A:A,use_fish!D:D),0),_xlfn.IFNA(LOOKUP(T56,use_fish!A:A,use_fish!D:D),0),_xlfn.IFNA(LOOKUP(U56,use_fish!A:A,use_fish!D:D),0),_xlfn.IFNA(LOOKUP(V56,use_fish!A:A,use_fish!D:D),0),_xlfn.IFNA(LOOKUP(W56,use_fish!A:A,use_fish!D:D),0),)</f>
        <v>50</v>
      </c>
      <c r="Q56">
        <v>41</v>
      </c>
    </row>
    <row r="57" spans="1:17">
      <c r="A57">
        <v>56</v>
      </c>
      <c r="B57">
        <v>1</v>
      </c>
      <c r="C57" t="s">
        <v>99</v>
      </c>
      <c r="H57">
        <f>SUM(_xlfn.IFNA(LOOKUP(Q57,use_fish!A:A,use_fish!D:D),0),_xlfn.IFNA(LOOKUP(R57,use_fish!A:A,use_fish!D:D),0),_xlfn.IFNA(LOOKUP(S57,use_fish!A:A,use_fish!D:D),0),_xlfn.IFNA(LOOKUP(T57,use_fish!A:A,use_fish!D:D),0),_xlfn.IFNA(LOOKUP(U57,use_fish!A:A,use_fish!D:D),0),_xlfn.IFNA(LOOKUP(V57,use_fish!A:A,use_fish!D:D),0),_xlfn.IFNA(LOOKUP(W57,use_fish!A:A,use_fish!D:D),0),)</f>
        <v>50</v>
      </c>
      <c r="Q57">
        <v>42</v>
      </c>
    </row>
    <row r="58" spans="1:17">
      <c r="A58">
        <v>57</v>
      </c>
      <c r="B58">
        <v>1</v>
      </c>
      <c r="C58" t="s">
        <v>100</v>
      </c>
      <c r="H58">
        <f>SUM(_xlfn.IFNA(LOOKUP(Q58,use_fish!A:A,use_fish!D:D),0),_xlfn.IFNA(LOOKUP(R58,use_fish!A:A,use_fish!D:D),0),_xlfn.IFNA(LOOKUP(S58,use_fish!A:A,use_fish!D:D),0),_xlfn.IFNA(LOOKUP(T58,use_fish!A:A,use_fish!D:D),0),_xlfn.IFNA(LOOKUP(U58,use_fish!A:A,use_fish!D:D),0),_xlfn.IFNA(LOOKUP(V58,use_fish!A:A,use_fish!D:D),0),_xlfn.IFNA(LOOKUP(W58,use_fish!A:A,use_fish!D:D),0),)</f>
        <v>80</v>
      </c>
      <c r="Q58">
        <v>43</v>
      </c>
    </row>
    <row r="59" spans="1:17">
      <c r="A59">
        <v>58</v>
      </c>
      <c r="B59">
        <v>1</v>
      </c>
      <c r="C59" t="s">
        <v>101</v>
      </c>
      <c r="H59">
        <f>SUM(_xlfn.IFNA(LOOKUP(Q59,use_fish!A:A,use_fish!D:D),0),_xlfn.IFNA(LOOKUP(R59,use_fish!A:A,use_fish!D:D),0),_xlfn.IFNA(LOOKUP(S59,use_fish!A:A,use_fish!D:D),0),_xlfn.IFNA(LOOKUP(T59,use_fish!A:A,use_fish!D:D),0),_xlfn.IFNA(LOOKUP(U59,use_fish!A:A,use_fish!D:D),0),_xlfn.IFNA(LOOKUP(V59,use_fish!A:A,use_fish!D:D),0),_xlfn.IFNA(LOOKUP(W59,use_fish!A:A,use_fish!D:D),0),)</f>
        <v>70</v>
      </c>
      <c r="Q59">
        <v>44</v>
      </c>
    </row>
    <row r="60" spans="1:17">
      <c r="A60">
        <v>59</v>
      </c>
      <c r="B60">
        <v>1</v>
      </c>
      <c r="C60" t="s">
        <v>102</v>
      </c>
      <c r="H60">
        <f>SUM(_xlfn.IFNA(LOOKUP(Q60,use_fish!A:A,use_fish!D:D),0),_xlfn.IFNA(LOOKUP(R60,use_fish!A:A,use_fish!D:D),0),_xlfn.IFNA(LOOKUP(S60,use_fish!A:A,use_fish!D:D),0),_xlfn.IFNA(LOOKUP(T60,use_fish!A:A,use_fish!D:D),0),_xlfn.IFNA(LOOKUP(U60,use_fish!A:A,use_fish!D:D),0),_xlfn.IFNA(LOOKUP(V60,use_fish!A:A,use_fish!D:D),0),_xlfn.IFNA(LOOKUP(W60,use_fish!A:A,use_fish!D:D),0),)</f>
        <v>123</v>
      </c>
      <c r="Q60">
        <v>45</v>
      </c>
    </row>
    <row r="61" spans="1:17">
      <c r="A61">
        <v>60</v>
      </c>
      <c r="B61">
        <v>1</v>
      </c>
      <c r="C61" t="s">
        <v>103</v>
      </c>
      <c r="H61">
        <f>SUM(_xlfn.IFNA(LOOKUP(Q61,use_fish!A:A,use_fish!D:D),0),_xlfn.IFNA(LOOKUP(R61,use_fish!A:A,use_fish!D:D),0),_xlfn.IFNA(LOOKUP(S61,use_fish!A:A,use_fish!D:D),0),_xlfn.IFNA(LOOKUP(T61,use_fish!A:A,use_fish!D:D),0),_xlfn.IFNA(LOOKUP(U61,use_fish!A:A,use_fish!D:D),0),_xlfn.IFNA(LOOKUP(V61,use_fish!A:A,use_fish!D:D),0),_xlfn.IFNA(LOOKUP(W61,use_fish!A:A,use_fish!D:D),0),)</f>
        <v>123</v>
      </c>
      <c r="Q61">
        <v>46</v>
      </c>
    </row>
    <row r="62" spans="1:17">
      <c r="A62">
        <v>61</v>
      </c>
      <c r="B62">
        <v>1</v>
      </c>
      <c r="C62" t="s">
        <v>104</v>
      </c>
      <c r="H62">
        <f>SUM(_xlfn.IFNA(LOOKUP(Q62,use_fish!A:A,use_fish!D:D),0),_xlfn.IFNA(LOOKUP(R62,use_fish!A:A,use_fish!D:D),0),_xlfn.IFNA(LOOKUP(S62,use_fish!A:A,use_fish!D:D),0),_xlfn.IFNA(LOOKUP(T62,use_fish!A:A,use_fish!D:D),0),_xlfn.IFNA(LOOKUP(U62,use_fish!A:A,use_fish!D:D),0),_xlfn.IFNA(LOOKUP(V62,use_fish!A:A,use_fish!D:D),0),_xlfn.IFNA(LOOKUP(W62,use_fish!A:A,use_fish!D:D),0),)</f>
        <v>110</v>
      </c>
      <c r="Q62">
        <v>47</v>
      </c>
    </row>
    <row r="63" spans="1:17">
      <c r="A63">
        <v>62</v>
      </c>
      <c r="B63">
        <v>1</v>
      </c>
      <c r="C63" t="s">
        <v>105</v>
      </c>
      <c r="H63">
        <f>SUM(_xlfn.IFNA(LOOKUP(Q63,use_fish!A:A,use_fish!D:D),0),_xlfn.IFNA(LOOKUP(R63,use_fish!A:A,use_fish!D:D),0),_xlfn.IFNA(LOOKUP(S63,use_fish!A:A,use_fish!D:D),0),_xlfn.IFNA(LOOKUP(T63,use_fish!A:A,use_fish!D:D),0),_xlfn.IFNA(LOOKUP(U63,use_fish!A:A,use_fish!D:D),0),_xlfn.IFNA(LOOKUP(V63,use_fish!A:A,use_fish!D:D),0),_xlfn.IFNA(LOOKUP(W63,use_fish!A:A,use_fish!D:D),0),)</f>
        <v>110</v>
      </c>
      <c r="Q63">
        <v>48</v>
      </c>
    </row>
    <row r="64" spans="1:17">
      <c r="A64">
        <v>63</v>
      </c>
      <c r="B64">
        <v>1</v>
      </c>
      <c r="C64" t="s">
        <v>106</v>
      </c>
      <c r="H64">
        <f>SUM(_xlfn.IFNA(LOOKUP(Q64,use_fish!A:A,use_fish!D:D),0),_xlfn.IFNA(LOOKUP(R64,use_fish!A:A,use_fish!D:D),0),_xlfn.IFNA(LOOKUP(S64,use_fish!A:A,use_fish!D:D),0),_xlfn.IFNA(LOOKUP(T64,use_fish!A:A,use_fish!D:D),0),_xlfn.IFNA(LOOKUP(U64,use_fish!A:A,use_fish!D:D),0),_xlfn.IFNA(LOOKUP(V64,use_fish!A:A,use_fish!D:D),0),_xlfn.IFNA(LOOKUP(W64,use_fish!A:A,use_fish!D:D),0),)</f>
        <v>110</v>
      </c>
      <c r="Q64">
        <v>49</v>
      </c>
    </row>
    <row r="65" spans="1:17">
      <c r="A65">
        <v>64</v>
      </c>
      <c r="B65">
        <v>1</v>
      </c>
      <c r="C65" t="s">
        <v>107</v>
      </c>
      <c r="H65">
        <f>SUM(_xlfn.IFNA(LOOKUP(Q65,use_fish!A:A,use_fish!D:D),0),_xlfn.IFNA(LOOKUP(R65,use_fish!A:A,use_fish!D:D),0),_xlfn.IFNA(LOOKUP(S65,use_fish!A:A,use_fish!D:D),0),_xlfn.IFNA(LOOKUP(T65,use_fish!A:A,use_fish!D:D),0),_xlfn.IFNA(LOOKUP(U65,use_fish!A:A,use_fish!D:D),0),_xlfn.IFNA(LOOKUP(V65,use_fish!A:A,use_fish!D:D),0),_xlfn.IFNA(LOOKUP(W65,use_fish!A:A,use_fish!D:D),0),)</f>
        <v>60</v>
      </c>
      <c r="Q65">
        <v>50</v>
      </c>
    </row>
    <row r="66" spans="1:17">
      <c r="A66">
        <v>65</v>
      </c>
      <c r="B66">
        <v>1</v>
      </c>
      <c r="C66" t="s">
        <v>108</v>
      </c>
      <c r="H66">
        <f>SUM(_xlfn.IFNA(LOOKUP(Q66,use_fish!A:A,use_fish!D:D),0),_xlfn.IFNA(LOOKUP(R66,use_fish!A:A,use_fish!D:D),0),_xlfn.IFNA(LOOKUP(S66,use_fish!A:A,use_fish!D:D),0),_xlfn.IFNA(LOOKUP(T66,use_fish!A:A,use_fish!D:D),0),_xlfn.IFNA(LOOKUP(U66,use_fish!A:A,use_fish!D:D),0),_xlfn.IFNA(LOOKUP(V66,use_fish!A:A,use_fish!D:D),0),_xlfn.IFNA(LOOKUP(W66,use_fish!A:A,use_fish!D:D),0),)</f>
        <v>60</v>
      </c>
      <c r="Q66">
        <v>51</v>
      </c>
    </row>
    <row r="67" spans="1:17">
      <c r="A67">
        <v>66</v>
      </c>
      <c r="B67">
        <v>1</v>
      </c>
      <c r="C67" t="s">
        <v>109</v>
      </c>
      <c r="H67">
        <f>SUM(_xlfn.IFNA(LOOKUP(Q67,use_fish!A:A,use_fish!D:D),0),_xlfn.IFNA(LOOKUP(R67,use_fish!A:A,use_fish!D:D),0),_xlfn.IFNA(LOOKUP(S67,use_fish!A:A,use_fish!D:D),0),_xlfn.IFNA(LOOKUP(T67,use_fish!A:A,use_fish!D:D),0),_xlfn.IFNA(LOOKUP(U67,use_fish!A:A,use_fish!D:D),0),_xlfn.IFNA(LOOKUP(V67,use_fish!A:A,use_fish!D:D),0),_xlfn.IFNA(LOOKUP(W67,use_fish!A:A,use_fish!D:D),0),)</f>
        <v>60</v>
      </c>
      <c r="Q67">
        <v>52</v>
      </c>
    </row>
    <row r="68" spans="1:17">
      <c r="A68">
        <v>67</v>
      </c>
      <c r="B68">
        <v>1</v>
      </c>
      <c r="C68" t="s">
        <v>110</v>
      </c>
      <c r="H68">
        <f>SUM(_xlfn.IFNA(LOOKUP(Q68,use_fish!A:A,use_fish!D:D),0),_xlfn.IFNA(LOOKUP(R68,use_fish!A:A,use_fish!D:D),0),_xlfn.IFNA(LOOKUP(S68,use_fish!A:A,use_fish!D:D),0),_xlfn.IFNA(LOOKUP(T68,use_fish!A:A,use_fish!D:D),0),_xlfn.IFNA(LOOKUP(U68,use_fish!A:A,use_fish!D:D),0),_xlfn.IFNA(LOOKUP(V68,use_fish!A:A,use_fish!D:D),0),_xlfn.IFNA(LOOKUP(W68,use_fish!A:A,use_fish!D:D),0),)</f>
        <v>90</v>
      </c>
      <c r="Q68">
        <v>53</v>
      </c>
    </row>
    <row r="69" spans="1:17">
      <c r="A69">
        <v>68</v>
      </c>
      <c r="B69">
        <v>1</v>
      </c>
      <c r="C69" t="s">
        <v>111</v>
      </c>
      <c r="H69">
        <f>SUM(_xlfn.IFNA(LOOKUP(Q69,use_fish!A:A,use_fish!D:D),0),_xlfn.IFNA(LOOKUP(R69,use_fish!A:A,use_fish!D:D),0),_xlfn.IFNA(LOOKUP(S69,use_fish!A:A,use_fish!D:D),0),_xlfn.IFNA(LOOKUP(T69,use_fish!A:A,use_fish!D:D),0),_xlfn.IFNA(LOOKUP(U69,use_fish!A:A,use_fish!D:D),0),_xlfn.IFNA(LOOKUP(V69,use_fish!A:A,use_fish!D:D),0),_xlfn.IFNA(LOOKUP(W69,use_fish!A:A,use_fish!D:D),0),)</f>
        <v>80</v>
      </c>
      <c r="Q69">
        <v>54</v>
      </c>
    </row>
    <row r="70" spans="1:17">
      <c r="A70">
        <v>69</v>
      </c>
      <c r="B70">
        <v>1</v>
      </c>
      <c r="C70" t="s">
        <v>112</v>
      </c>
      <c r="H70">
        <f>SUM(_xlfn.IFNA(LOOKUP(Q70,use_fish!A:A,use_fish!D:D),0),_xlfn.IFNA(LOOKUP(R70,use_fish!A:A,use_fish!D:D),0),_xlfn.IFNA(LOOKUP(S70,use_fish!A:A,use_fish!D:D),0),_xlfn.IFNA(LOOKUP(T70,use_fish!A:A,use_fish!D:D),0),_xlfn.IFNA(LOOKUP(U70,use_fish!A:A,use_fish!D:D),0),_xlfn.IFNA(LOOKUP(V70,use_fish!A:A,use_fish!D:D),0),_xlfn.IFNA(LOOKUP(W70,use_fish!A:A,use_fish!D:D),0),)</f>
        <v>133</v>
      </c>
      <c r="Q70">
        <v>55</v>
      </c>
    </row>
    <row r="71" spans="1:17">
      <c r="A71">
        <v>70</v>
      </c>
      <c r="B71">
        <v>1</v>
      </c>
      <c r="C71" t="s">
        <v>113</v>
      </c>
      <c r="H71">
        <f>SUM(_xlfn.IFNA(LOOKUP(Q71,use_fish!A:A,use_fish!D:D),0),_xlfn.IFNA(LOOKUP(R71,use_fish!A:A,use_fish!D:D),0),_xlfn.IFNA(LOOKUP(S71,use_fish!A:A,use_fish!D:D),0),_xlfn.IFNA(LOOKUP(T71,use_fish!A:A,use_fish!D:D),0),_xlfn.IFNA(LOOKUP(U71,use_fish!A:A,use_fish!D:D),0),_xlfn.IFNA(LOOKUP(V71,use_fish!A:A,use_fish!D:D),0),_xlfn.IFNA(LOOKUP(W71,use_fish!A:A,use_fish!D:D),0),)</f>
        <v>133</v>
      </c>
      <c r="Q71">
        <v>56</v>
      </c>
    </row>
    <row r="72" spans="1:17">
      <c r="A72">
        <v>71</v>
      </c>
      <c r="B72">
        <v>1</v>
      </c>
      <c r="C72" t="s">
        <v>114</v>
      </c>
      <c r="H72">
        <f>SUM(_xlfn.IFNA(LOOKUP(Q72,use_fish!A:A,use_fish!D:D),0),_xlfn.IFNA(LOOKUP(R72,use_fish!A:A,use_fish!D:D),0),_xlfn.IFNA(LOOKUP(S72,use_fish!A:A,use_fish!D:D),0),_xlfn.IFNA(LOOKUP(T72,use_fish!A:A,use_fish!D:D),0),_xlfn.IFNA(LOOKUP(U72,use_fish!A:A,use_fish!D:D),0),_xlfn.IFNA(LOOKUP(V72,use_fish!A:A,use_fish!D:D),0),_xlfn.IFNA(LOOKUP(W72,use_fish!A:A,use_fish!D:D),0),)</f>
        <v>120</v>
      </c>
      <c r="Q72">
        <v>57</v>
      </c>
    </row>
    <row r="73" spans="1:17">
      <c r="A73">
        <v>72</v>
      </c>
      <c r="B73">
        <v>1</v>
      </c>
      <c r="C73" t="s">
        <v>115</v>
      </c>
      <c r="H73">
        <f>SUM(_xlfn.IFNA(LOOKUP(Q73,use_fish!A:A,use_fish!D:D),0),_xlfn.IFNA(LOOKUP(R73,use_fish!A:A,use_fish!D:D),0),_xlfn.IFNA(LOOKUP(S73,use_fish!A:A,use_fish!D:D),0),_xlfn.IFNA(LOOKUP(T73,use_fish!A:A,use_fish!D:D),0),_xlfn.IFNA(LOOKUP(U73,use_fish!A:A,use_fish!D:D),0),_xlfn.IFNA(LOOKUP(V73,use_fish!A:A,use_fish!D:D),0),_xlfn.IFNA(LOOKUP(W73,use_fish!A:A,use_fish!D:D),0),)</f>
        <v>120</v>
      </c>
      <c r="Q73">
        <v>58</v>
      </c>
    </row>
    <row r="74" spans="1:17">
      <c r="A74">
        <v>73</v>
      </c>
      <c r="B74">
        <v>1</v>
      </c>
      <c r="C74" t="s">
        <v>116</v>
      </c>
      <c r="H74">
        <f>SUM(_xlfn.IFNA(LOOKUP(Q74,use_fish!A:A,use_fish!D:D),0),_xlfn.IFNA(LOOKUP(R74,use_fish!A:A,use_fish!D:D),0),_xlfn.IFNA(LOOKUP(S74,use_fish!A:A,use_fish!D:D),0),_xlfn.IFNA(LOOKUP(T74,use_fish!A:A,use_fish!D:D),0),_xlfn.IFNA(LOOKUP(U74,use_fish!A:A,use_fish!D:D),0),_xlfn.IFNA(LOOKUP(V74,use_fish!A:A,use_fish!D:D),0),_xlfn.IFNA(LOOKUP(W74,use_fish!A:A,use_fish!D:D),0),)</f>
        <v>120</v>
      </c>
      <c r="Q74">
        <v>59</v>
      </c>
    </row>
    <row r="75" spans="1:17">
      <c r="A75">
        <v>74</v>
      </c>
      <c r="B75">
        <v>1</v>
      </c>
      <c r="C75" t="s">
        <v>117</v>
      </c>
      <c r="H75">
        <f>SUM(_xlfn.IFNA(LOOKUP(Q75,use_fish!A:A,use_fish!D:D),0),_xlfn.IFNA(LOOKUP(R75,use_fish!A:A,use_fish!D:D),0),_xlfn.IFNA(LOOKUP(S75,use_fish!A:A,use_fish!D:D),0),_xlfn.IFNA(LOOKUP(T75,use_fish!A:A,use_fish!D:D),0),_xlfn.IFNA(LOOKUP(U75,use_fish!A:A,use_fish!D:D),0),_xlfn.IFNA(LOOKUP(V75,use_fish!A:A,use_fish!D:D),0),_xlfn.IFNA(LOOKUP(W75,use_fish!A:A,use_fish!D:D),0),)</f>
        <v>70</v>
      </c>
      <c r="K75" t="str">
        <f t="array" ref="K75">INDEX(use_fish!A:A,SMALL(IF(group!$K$2&amp;IF(ISBLANK($K$3),$K$3,"+"&amp;$K$3)=use_fish!G:G,ROW(use_fish!G:G),4^8),ROW(72:72)))&amp;""</f>
        <v/>
      </c>
      <c r="Q75">
        <v>60</v>
      </c>
    </row>
    <row r="76" spans="1:17">
      <c r="A76">
        <v>75</v>
      </c>
      <c r="B76">
        <v>1</v>
      </c>
      <c r="C76" t="s">
        <v>118</v>
      </c>
      <c r="H76">
        <f>SUM(_xlfn.IFNA(LOOKUP(Q76,use_fish!A:A,use_fish!D:D),0),_xlfn.IFNA(LOOKUP(R76,use_fish!A:A,use_fish!D:D),0),_xlfn.IFNA(LOOKUP(S76,use_fish!A:A,use_fish!D:D),0),_xlfn.IFNA(LOOKUP(T76,use_fish!A:A,use_fish!D:D),0),_xlfn.IFNA(LOOKUP(U76,use_fish!A:A,use_fish!D:D),0),_xlfn.IFNA(LOOKUP(V76,use_fish!A:A,use_fish!D:D),0),_xlfn.IFNA(LOOKUP(W76,use_fish!A:A,use_fish!D:D),0),)</f>
        <v>70</v>
      </c>
      <c r="K76" t="str">
        <f t="array" ref="K76">INDEX(use_fish!A:A,SMALL(IF(group!$K$2&amp;IF(ISBLANK($K$3),$K$3,"+"&amp;$K$3)=use_fish!G:G,ROW(use_fish!G:G),4^8),ROW(73:73)))&amp;""</f>
        <v/>
      </c>
      <c r="Q76">
        <v>61</v>
      </c>
    </row>
    <row r="77" spans="1:17">
      <c r="A77">
        <v>76</v>
      </c>
      <c r="B77">
        <v>1</v>
      </c>
      <c r="C77" t="s">
        <v>119</v>
      </c>
      <c r="H77">
        <f>SUM(_xlfn.IFNA(LOOKUP(Q77,use_fish!A:A,use_fish!D:D),0),_xlfn.IFNA(LOOKUP(R77,use_fish!A:A,use_fish!D:D),0),_xlfn.IFNA(LOOKUP(S77,use_fish!A:A,use_fish!D:D),0),_xlfn.IFNA(LOOKUP(T77,use_fish!A:A,use_fish!D:D),0),_xlfn.IFNA(LOOKUP(U77,use_fish!A:A,use_fish!D:D),0),_xlfn.IFNA(LOOKUP(V77,use_fish!A:A,use_fish!D:D),0),_xlfn.IFNA(LOOKUP(W77,use_fish!A:A,use_fish!D:D),0),)</f>
        <v>70</v>
      </c>
      <c r="K77" t="str">
        <f t="array" ref="K77">INDEX(use_fish!A:A,SMALL(IF(group!$K$2&amp;IF(ISBLANK($K$3),$K$3,"+"&amp;$K$3)=use_fish!G:G,ROW(use_fish!G:G),4^8),ROW(74:74)))&amp;""</f>
        <v/>
      </c>
      <c r="Q77">
        <v>62</v>
      </c>
    </row>
    <row r="78" spans="1:17">
      <c r="A78">
        <v>77</v>
      </c>
      <c r="B78">
        <v>1</v>
      </c>
      <c r="C78" t="s">
        <v>120</v>
      </c>
      <c r="H78">
        <f>SUM(_xlfn.IFNA(LOOKUP(Q78,use_fish!A:A,use_fish!D:D),0),_xlfn.IFNA(LOOKUP(R78,use_fish!A:A,use_fish!D:D),0),_xlfn.IFNA(LOOKUP(S78,use_fish!A:A,use_fish!D:D),0),_xlfn.IFNA(LOOKUP(T78,use_fish!A:A,use_fish!D:D),0),_xlfn.IFNA(LOOKUP(U78,use_fish!A:A,use_fish!D:D),0),_xlfn.IFNA(LOOKUP(V78,use_fish!A:A,use_fish!D:D),0),_xlfn.IFNA(LOOKUP(W78,use_fish!A:A,use_fish!D:D),0),)</f>
        <v>70</v>
      </c>
      <c r="Q78">
        <v>63</v>
      </c>
    </row>
    <row r="79" spans="1:17">
      <c r="A79">
        <v>78</v>
      </c>
      <c r="B79">
        <v>1</v>
      </c>
      <c r="C79" t="s">
        <v>121</v>
      </c>
      <c r="H79">
        <f>SUM(_xlfn.IFNA(LOOKUP(Q79,use_fish!A:A,use_fish!D:D),0),_xlfn.IFNA(LOOKUP(R79,use_fish!A:A,use_fish!D:D),0),_xlfn.IFNA(LOOKUP(S79,use_fish!A:A,use_fish!D:D),0),_xlfn.IFNA(LOOKUP(T79,use_fish!A:A,use_fish!D:D),0),_xlfn.IFNA(LOOKUP(U79,use_fish!A:A,use_fish!D:D),0),_xlfn.IFNA(LOOKUP(V79,use_fish!A:A,use_fish!D:D),0),_xlfn.IFNA(LOOKUP(W79,use_fish!A:A,use_fish!D:D),0),)</f>
        <v>163</v>
      </c>
      <c r="Q79">
        <v>64</v>
      </c>
    </row>
    <row r="80" spans="1:17">
      <c r="A80">
        <v>79</v>
      </c>
      <c r="B80">
        <v>1</v>
      </c>
      <c r="C80" t="s">
        <v>122</v>
      </c>
      <c r="H80">
        <f>SUM(_xlfn.IFNA(LOOKUP(Q80,use_fish!A:A,use_fish!D:D),0),_xlfn.IFNA(LOOKUP(R80,use_fish!A:A,use_fish!D:D),0),_xlfn.IFNA(LOOKUP(S80,use_fish!A:A,use_fish!D:D),0),_xlfn.IFNA(LOOKUP(T80,use_fish!A:A,use_fish!D:D),0),_xlfn.IFNA(LOOKUP(U80,use_fish!A:A,use_fish!D:D),0),_xlfn.IFNA(LOOKUP(V80,use_fish!A:A,use_fish!D:D),0),_xlfn.IFNA(LOOKUP(W80,use_fish!A:A,use_fish!D:D),0),)</f>
        <v>163</v>
      </c>
      <c r="Q80">
        <v>65</v>
      </c>
    </row>
    <row r="81" spans="1:17">
      <c r="A81">
        <v>80</v>
      </c>
      <c r="B81">
        <v>1</v>
      </c>
      <c r="C81" t="s">
        <v>123</v>
      </c>
      <c r="H81">
        <f>SUM(_xlfn.IFNA(LOOKUP(Q81,use_fish!A:A,use_fish!D:D),0),_xlfn.IFNA(LOOKUP(R81,use_fish!A:A,use_fish!D:D),0),_xlfn.IFNA(LOOKUP(S81,use_fish!A:A,use_fish!D:D),0),_xlfn.IFNA(LOOKUP(T81,use_fish!A:A,use_fish!D:D),0),_xlfn.IFNA(LOOKUP(U81,use_fish!A:A,use_fish!D:D),0),_xlfn.IFNA(LOOKUP(V81,use_fish!A:A,use_fish!D:D),0),_xlfn.IFNA(LOOKUP(W81,use_fish!A:A,use_fish!D:D),0),)</f>
        <v>150</v>
      </c>
      <c r="Q81">
        <v>66</v>
      </c>
    </row>
    <row r="82" spans="1:17">
      <c r="A82">
        <v>81</v>
      </c>
      <c r="B82">
        <v>1</v>
      </c>
      <c r="C82" t="s">
        <v>124</v>
      </c>
      <c r="H82">
        <f>SUM(_xlfn.IFNA(LOOKUP(Q82,use_fish!A:A,use_fish!D:D),0),_xlfn.IFNA(LOOKUP(R82,use_fish!A:A,use_fish!D:D),0),_xlfn.IFNA(LOOKUP(S82,use_fish!A:A,use_fish!D:D),0),_xlfn.IFNA(LOOKUP(T82,use_fish!A:A,use_fish!D:D),0),_xlfn.IFNA(LOOKUP(U82,use_fish!A:A,use_fish!D:D),0),_xlfn.IFNA(LOOKUP(V82,use_fish!A:A,use_fish!D:D),0),_xlfn.IFNA(LOOKUP(W82,use_fish!A:A,use_fish!D:D),0),)</f>
        <v>150</v>
      </c>
      <c r="Q82">
        <v>67</v>
      </c>
    </row>
    <row r="83" spans="1:17">
      <c r="A83">
        <v>82</v>
      </c>
      <c r="B83">
        <v>1</v>
      </c>
      <c r="C83" t="s">
        <v>125</v>
      </c>
      <c r="H83">
        <f>SUM(_xlfn.IFNA(LOOKUP(Q83,use_fish!A:A,use_fish!D:D),0),_xlfn.IFNA(LOOKUP(R83,use_fish!A:A,use_fish!D:D),0),_xlfn.IFNA(LOOKUP(S83,use_fish!A:A,use_fish!D:D),0),_xlfn.IFNA(LOOKUP(T83,use_fish!A:A,use_fish!D:D),0),_xlfn.IFNA(LOOKUP(U83,use_fish!A:A,use_fish!D:D),0),_xlfn.IFNA(LOOKUP(V83,use_fish!A:A,use_fish!D:D),0),_xlfn.IFNA(LOOKUP(W83,use_fish!A:A,use_fish!D:D),0),)</f>
        <v>150</v>
      </c>
      <c r="Q83">
        <v>68</v>
      </c>
    </row>
    <row r="84" spans="1:17">
      <c r="A84">
        <v>83</v>
      </c>
      <c r="B84">
        <v>1</v>
      </c>
      <c r="C84" t="s">
        <v>126</v>
      </c>
      <c r="H84">
        <f>SUM(_xlfn.IFNA(LOOKUP(Q84,use_fish!A:A,use_fish!D:D),0),_xlfn.IFNA(LOOKUP(R84,use_fish!A:A,use_fish!D:D),0),_xlfn.IFNA(LOOKUP(S84,use_fish!A:A,use_fish!D:D),0),_xlfn.IFNA(LOOKUP(T84,use_fish!A:A,use_fish!D:D),0),_xlfn.IFNA(LOOKUP(U84,use_fish!A:A,use_fish!D:D),0),_xlfn.IFNA(LOOKUP(V84,use_fish!A:A,use_fish!D:D),0),_xlfn.IFNA(LOOKUP(W84,use_fish!A:A,use_fish!D:D),0),)</f>
        <v>100</v>
      </c>
      <c r="K84" t="str">
        <f t="array" ref="K84">INDEX(use_fish!A:A,SMALL(IF(group!$K$2&amp;IF(ISBLANK($K$3),$K$3,"+"&amp;$K$3)=use_fish!G:G,ROW(use_fish!G:G),4^8),ROW(81:81)))&amp;""</f>
        <v/>
      </c>
      <c r="Q84">
        <v>69</v>
      </c>
    </row>
    <row r="85" spans="1:17">
      <c r="A85">
        <v>84</v>
      </c>
      <c r="B85">
        <v>1</v>
      </c>
      <c r="C85" t="s">
        <v>127</v>
      </c>
      <c r="H85">
        <f>SUM(_xlfn.IFNA(LOOKUP(Q85,use_fish!A:A,use_fish!D:D),0),_xlfn.IFNA(LOOKUP(R85,use_fish!A:A,use_fish!D:D),0),_xlfn.IFNA(LOOKUP(S85,use_fish!A:A,use_fish!D:D),0),_xlfn.IFNA(LOOKUP(T85,use_fish!A:A,use_fish!D:D),0),_xlfn.IFNA(LOOKUP(U85,use_fish!A:A,use_fish!D:D),0),_xlfn.IFNA(LOOKUP(V85,use_fish!A:A,use_fish!D:D),0),_xlfn.IFNA(LOOKUP(W85,use_fish!A:A,use_fish!D:D),0),)</f>
        <v>100</v>
      </c>
      <c r="Q85">
        <v>70</v>
      </c>
    </row>
    <row r="86" spans="1:17">
      <c r="A86">
        <v>85</v>
      </c>
      <c r="B86">
        <v>1</v>
      </c>
      <c r="C86" t="s">
        <v>128</v>
      </c>
      <c r="H86">
        <f>SUM(_xlfn.IFNA(LOOKUP(Q86,use_fish!A:A,use_fish!D:D),0),_xlfn.IFNA(LOOKUP(R86,use_fish!A:A,use_fish!D:D),0),_xlfn.IFNA(LOOKUP(S86,use_fish!A:A,use_fish!D:D),0),_xlfn.IFNA(LOOKUP(T86,use_fish!A:A,use_fish!D:D),0),_xlfn.IFNA(LOOKUP(U86,use_fish!A:A,use_fish!D:D),0),_xlfn.IFNA(LOOKUP(V86,use_fish!A:A,use_fish!D:D),0),_xlfn.IFNA(LOOKUP(W86,use_fish!A:A,use_fish!D:D),0),)</f>
        <v>100</v>
      </c>
      <c r="Q86">
        <v>71</v>
      </c>
    </row>
    <row r="87" spans="1:17">
      <c r="A87">
        <v>86</v>
      </c>
      <c r="B87">
        <v>1</v>
      </c>
      <c r="C87" t="s">
        <v>129</v>
      </c>
      <c r="H87">
        <f>SUM(_xlfn.IFNA(LOOKUP(Q87,use_fish!A:A,use_fish!D:D),0),_xlfn.IFNA(LOOKUP(R87,use_fish!A:A,use_fish!D:D),0),_xlfn.IFNA(LOOKUP(S87,use_fish!A:A,use_fish!D:D),0),_xlfn.IFNA(LOOKUP(T87,use_fish!A:A,use_fish!D:D),0),_xlfn.IFNA(LOOKUP(U87,use_fish!A:A,use_fish!D:D),0),_xlfn.IFNA(LOOKUP(V87,use_fish!A:A,use_fish!D:D),0),_xlfn.IFNA(LOOKUP(W87,use_fish!A:A,use_fish!D:D),0),)</f>
        <v>143</v>
      </c>
      <c r="Q87">
        <v>72</v>
      </c>
    </row>
    <row r="88" spans="1:17">
      <c r="A88">
        <v>87</v>
      </c>
      <c r="B88">
        <v>1</v>
      </c>
      <c r="C88" t="s">
        <v>130</v>
      </c>
      <c r="H88">
        <f>SUM(_xlfn.IFNA(LOOKUP(Q88,use_fish!A:A,use_fish!D:D),0),_xlfn.IFNA(LOOKUP(R88,use_fish!A:A,use_fish!D:D),0),_xlfn.IFNA(LOOKUP(S88,use_fish!A:A,use_fish!D:D),0),_xlfn.IFNA(LOOKUP(T88,use_fish!A:A,use_fish!D:D),0),_xlfn.IFNA(LOOKUP(U88,use_fish!A:A,use_fish!D:D),0),_xlfn.IFNA(LOOKUP(V88,use_fish!A:A,use_fish!D:D),0),_xlfn.IFNA(LOOKUP(W88,use_fish!A:A,use_fish!D:D),0),)</f>
        <v>143</v>
      </c>
      <c r="Q88">
        <v>73</v>
      </c>
    </row>
    <row r="89" spans="1:17">
      <c r="A89">
        <v>88</v>
      </c>
      <c r="B89">
        <v>1</v>
      </c>
      <c r="C89" t="s">
        <v>131</v>
      </c>
      <c r="H89">
        <f>SUM(_xlfn.IFNA(LOOKUP(Q89,use_fish!A:A,use_fish!D:D),0),_xlfn.IFNA(LOOKUP(R89,use_fish!A:A,use_fish!D:D),0),_xlfn.IFNA(LOOKUP(S89,use_fish!A:A,use_fish!D:D),0),_xlfn.IFNA(LOOKUP(T89,use_fish!A:A,use_fish!D:D),0),_xlfn.IFNA(LOOKUP(U89,use_fish!A:A,use_fish!D:D),0),_xlfn.IFNA(LOOKUP(V89,use_fish!A:A,use_fish!D:D),0),_xlfn.IFNA(LOOKUP(W89,use_fish!A:A,use_fish!D:D),0),)</f>
        <v>130</v>
      </c>
      <c r="Q89">
        <v>74</v>
      </c>
    </row>
    <row r="90" spans="1:17">
      <c r="A90">
        <v>89</v>
      </c>
      <c r="B90">
        <v>1</v>
      </c>
      <c r="C90" t="s">
        <v>132</v>
      </c>
      <c r="H90">
        <f>SUM(_xlfn.IFNA(LOOKUP(Q90,use_fish!A:A,use_fish!D:D),0),_xlfn.IFNA(LOOKUP(R90,use_fish!A:A,use_fish!D:D),0),_xlfn.IFNA(LOOKUP(S90,use_fish!A:A,use_fish!D:D),0),_xlfn.IFNA(LOOKUP(T90,use_fish!A:A,use_fish!D:D),0),_xlfn.IFNA(LOOKUP(U90,use_fish!A:A,use_fish!D:D),0),_xlfn.IFNA(LOOKUP(V90,use_fish!A:A,use_fish!D:D),0),_xlfn.IFNA(LOOKUP(W90,use_fish!A:A,use_fish!D:D),0),)</f>
        <v>130</v>
      </c>
      <c r="Q90">
        <v>75</v>
      </c>
    </row>
    <row r="91" spans="1:17">
      <c r="A91">
        <v>90</v>
      </c>
      <c r="B91">
        <v>1</v>
      </c>
      <c r="C91" t="s">
        <v>133</v>
      </c>
      <c r="H91">
        <f>SUM(_xlfn.IFNA(LOOKUP(Q91,use_fish!A:A,use_fish!D:D),0),_xlfn.IFNA(LOOKUP(R91,use_fish!A:A,use_fish!D:D),0),_xlfn.IFNA(LOOKUP(S91,use_fish!A:A,use_fish!D:D),0),_xlfn.IFNA(LOOKUP(T91,use_fish!A:A,use_fish!D:D),0),_xlfn.IFNA(LOOKUP(U91,use_fish!A:A,use_fish!D:D),0),_xlfn.IFNA(LOOKUP(V91,use_fish!A:A,use_fish!D:D),0),_xlfn.IFNA(LOOKUP(W91,use_fish!A:A,use_fish!D:D),0),)</f>
        <v>130</v>
      </c>
      <c r="Q91">
        <v>76</v>
      </c>
    </row>
    <row r="92" spans="1:17">
      <c r="A92">
        <v>91</v>
      </c>
      <c r="B92">
        <v>1</v>
      </c>
      <c r="C92" t="s">
        <v>134</v>
      </c>
      <c r="H92">
        <f>SUM(_xlfn.IFNA(LOOKUP(Q92,use_fish!A:A,use_fish!D:D),0),_xlfn.IFNA(LOOKUP(R92,use_fish!A:A,use_fish!D:D),0),_xlfn.IFNA(LOOKUP(S92,use_fish!A:A,use_fish!D:D),0),_xlfn.IFNA(LOOKUP(T92,use_fish!A:A,use_fish!D:D),0),_xlfn.IFNA(LOOKUP(U92,use_fish!A:A,use_fish!D:D),0),_xlfn.IFNA(LOOKUP(V92,use_fish!A:A,use_fish!D:D),0),_xlfn.IFNA(LOOKUP(W92,use_fish!A:A,use_fish!D:D),0),)</f>
        <v>80</v>
      </c>
      <c r="Q92">
        <v>77</v>
      </c>
    </row>
    <row r="93" spans="1:17">
      <c r="A93">
        <v>92</v>
      </c>
      <c r="B93">
        <v>1</v>
      </c>
      <c r="C93" t="s">
        <v>135</v>
      </c>
      <c r="H93">
        <f>SUM(_xlfn.IFNA(LOOKUP(Q93,use_fish!A:A,use_fish!D:D),0),_xlfn.IFNA(LOOKUP(R93,use_fish!A:A,use_fish!D:D),0),_xlfn.IFNA(LOOKUP(S93,use_fish!A:A,use_fish!D:D),0),_xlfn.IFNA(LOOKUP(T93,use_fish!A:A,use_fish!D:D),0),_xlfn.IFNA(LOOKUP(U93,use_fish!A:A,use_fish!D:D),0),_xlfn.IFNA(LOOKUP(V93,use_fish!A:A,use_fish!D:D),0),_xlfn.IFNA(LOOKUP(W93,use_fish!A:A,use_fish!D:D),0),)</f>
        <v>80</v>
      </c>
      <c r="Q93">
        <v>78</v>
      </c>
    </row>
    <row r="94" spans="1:17">
      <c r="A94">
        <v>93</v>
      </c>
      <c r="B94">
        <v>1</v>
      </c>
      <c r="C94" t="s">
        <v>136</v>
      </c>
      <c r="H94">
        <f>SUM(_xlfn.IFNA(LOOKUP(Q94,use_fish!A:A,use_fish!D:D),0),_xlfn.IFNA(LOOKUP(R94,use_fish!A:A,use_fish!D:D),0),_xlfn.IFNA(LOOKUP(S94,use_fish!A:A,use_fish!D:D),0),_xlfn.IFNA(LOOKUP(T94,use_fish!A:A,use_fish!D:D),0),_xlfn.IFNA(LOOKUP(U94,use_fish!A:A,use_fish!D:D),0),_xlfn.IFNA(LOOKUP(V94,use_fish!A:A,use_fish!D:D),0),_xlfn.IFNA(LOOKUP(W94,use_fish!A:A,use_fish!D:D),0),)</f>
        <v>80</v>
      </c>
      <c r="Q94">
        <v>79</v>
      </c>
    </row>
    <row r="95" spans="1:17">
      <c r="A95">
        <v>94</v>
      </c>
      <c r="B95">
        <v>1</v>
      </c>
      <c r="C95" t="s">
        <v>137</v>
      </c>
      <c r="H95">
        <f>SUM(_xlfn.IFNA(LOOKUP(Q95,use_fish!A:A,use_fish!D:D),0),_xlfn.IFNA(LOOKUP(R95,use_fish!A:A,use_fish!D:D),0),_xlfn.IFNA(LOOKUP(S95,use_fish!A:A,use_fish!D:D),0),_xlfn.IFNA(LOOKUP(T95,use_fish!A:A,use_fish!D:D),0),_xlfn.IFNA(LOOKUP(U95,use_fish!A:A,use_fish!D:D),0),_xlfn.IFNA(LOOKUP(V95,use_fish!A:A,use_fish!D:D),0),_xlfn.IFNA(LOOKUP(W95,use_fish!A:A,use_fish!D:D),0),)</f>
        <v>110</v>
      </c>
      <c r="Q95">
        <v>80</v>
      </c>
    </row>
    <row r="96" spans="1:17">
      <c r="A96">
        <v>95</v>
      </c>
      <c r="B96">
        <v>1</v>
      </c>
      <c r="C96" t="s">
        <v>138</v>
      </c>
      <c r="H96">
        <f>SUM(_xlfn.IFNA(LOOKUP(Q96,use_fish!A:A,use_fish!D:D),0),_xlfn.IFNA(LOOKUP(R96,use_fish!A:A,use_fish!D:D),0),_xlfn.IFNA(LOOKUP(S96,use_fish!A:A,use_fish!D:D),0),_xlfn.IFNA(LOOKUP(T96,use_fish!A:A,use_fish!D:D),0),_xlfn.IFNA(LOOKUP(U96,use_fish!A:A,use_fish!D:D),0),_xlfn.IFNA(LOOKUP(V96,use_fish!A:A,use_fish!D:D),0),_xlfn.IFNA(LOOKUP(W96,use_fish!A:A,use_fish!D:D),0),)</f>
        <v>100</v>
      </c>
      <c r="Q96">
        <v>81</v>
      </c>
    </row>
    <row r="97" spans="1:17">
      <c r="A97">
        <v>96</v>
      </c>
      <c r="B97">
        <v>1</v>
      </c>
      <c r="C97" t="s">
        <v>139</v>
      </c>
      <c r="H97">
        <f>SUM(_xlfn.IFNA(LOOKUP(Q97,use_fish!A:A,use_fish!D:D),0),_xlfn.IFNA(LOOKUP(R97,use_fish!A:A,use_fish!D:D),0),_xlfn.IFNA(LOOKUP(S97,use_fish!A:A,use_fish!D:D),0),_xlfn.IFNA(LOOKUP(T97,use_fish!A:A,use_fish!D:D),0),_xlfn.IFNA(LOOKUP(U97,use_fish!A:A,use_fish!D:D),0),_xlfn.IFNA(LOOKUP(V97,use_fish!A:A,use_fish!D:D),0),_xlfn.IFNA(LOOKUP(W97,use_fish!A:A,use_fish!D:D),0),)</f>
        <v>163</v>
      </c>
      <c r="Q97">
        <v>82</v>
      </c>
    </row>
    <row r="98" spans="1:17">
      <c r="A98">
        <v>97</v>
      </c>
      <c r="B98">
        <v>1</v>
      </c>
      <c r="C98" t="s">
        <v>140</v>
      </c>
      <c r="H98">
        <f>SUM(_xlfn.IFNA(LOOKUP(Q98,use_fish!A:A,use_fish!D:D),0),_xlfn.IFNA(LOOKUP(R98,use_fish!A:A,use_fish!D:D),0),_xlfn.IFNA(LOOKUP(S98,use_fish!A:A,use_fish!D:D),0),_xlfn.IFNA(LOOKUP(T98,use_fish!A:A,use_fish!D:D),0),_xlfn.IFNA(LOOKUP(U98,use_fish!A:A,use_fish!D:D),0),_xlfn.IFNA(LOOKUP(V98,use_fish!A:A,use_fish!D:D),0),_xlfn.IFNA(LOOKUP(W98,use_fish!A:A,use_fish!D:D),0),)</f>
        <v>163</v>
      </c>
      <c r="Q98">
        <v>83</v>
      </c>
    </row>
    <row r="99" spans="1:17">
      <c r="A99">
        <v>98</v>
      </c>
      <c r="B99">
        <v>1</v>
      </c>
      <c r="C99" t="s">
        <v>141</v>
      </c>
      <c r="H99">
        <f>SUM(_xlfn.IFNA(LOOKUP(Q99,use_fish!A:A,use_fish!D:D),0),_xlfn.IFNA(LOOKUP(R99,use_fish!A:A,use_fish!D:D),0),_xlfn.IFNA(LOOKUP(S99,use_fish!A:A,use_fish!D:D),0),_xlfn.IFNA(LOOKUP(T99,use_fish!A:A,use_fish!D:D),0),_xlfn.IFNA(LOOKUP(U99,use_fish!A:A,use_fish!D:D),0),_xlfn.IFNA(LOOKUP(V99,use_fish!A:A,use_fish!D:D),0),_xlfn.IFNA(LOOKUP(W99,use_fish!A:A,use_fish!D:D),0),)</f>
        <v>150</v>
      </c>
      <c r="Q99">
        <v>84</v>
      </c>
    </row>
    <row r="100" spans="1:17">
      <c r="A100">
        <v>99</v>
      </c>
      <c r="B100">
        <v>1</v>
      </c>
      <c r="C100" t="s">
        <v>142</v>
      </c>
      <c r="H100">
        <f>SUM(_xlfn.IFNA(LOOKUP(Q100,use_fish!A:A,use_fish!D:D),0),_xlfn.IFNA(LOOKUP(R100,use_fish!A:A,use_fish!D:D),0),_xlfn.IFNA(LOOKUP(S100,use_fish!A:A,use_fish!D:D),0),_xlfn.IFNA(LOOKUP(T100,use_fish!A:A,use_fish!D:D),0),_xlfn.IFNA(LOOKUP(U100,use_fish!A:A,use_fish!D:D),0),_xlfn.IFNA(LOOKUP(V100,use_fish!A:A,use_fish!D:D),0),_xlfn.IFNA(LOOKUP(W100,use_fish!A:A,use_fish!D:D),0),)</f>
        <v>150</v>
      </c>
      <c r="Q100">
        <v>85</v>
      </c>
    </row>
    <row r="101" spans="1:17">
      <c r="A101">
        <v>100</v>
      </c>
      <c r="B101">
        <v>1</v>
      </c>
      <c r="C101" t="s">
        <v>143</v>
      </c>
      <c r="H101">
        <f>SUM(_xlfn.IFNA(LOOKUP(Q101,use_fish!A:A,use_fish!D:D),0),_xlfn.IFNA(LOOKUP(R101,use_fish!A:A,use_fish!D:D),0),_xlfn.IFNA(LOOKUP(S101,use_fish!A:A,use_fish!D:D),0),_xlfn.IFNA(LOOKUP(T101,use_fish!A:A,use_fish!D:D),0),_xlfn.IFNA(LOOKUP(U101,use_fish!A:A,use_fish!D:D),0),_xlfn.IFNA(LOOKUP(V101,use_fish!A:A,use_fish!D:D),0),_xlfn.IFNA(LOOKUP(W101,use_fish!A:A,use_fish!D:D),0),)</f>
        <v>150</v>
      </c>
      <c r="Q101">
        <v>86</v>
      </c>
    </row>
    <row r="102" spans="1:17">
      <c r="A102">
        <v>101</v>
      </c>
      <c r="B102">
        <v>1</v>
      </c>
      <c r="C102" t="s">
        <v>144</v>
      </c>
      <c r="H102">
        <f>SUM(_xlfn.IFNA(LOOKUP(Q102,use_fish!A:A,use_fish!D:D),0),_xlfn.IFNA(LOOKUP(R102,use_fish!A:A,use_fish!D:D),0),_xlfn.IFNA(LOOKUP(S102,use_fish!A:A,use_fish!D:D),0),_xlfn.IFNA(LOOKUP(T102,use_fish!A:A,use_fish!D:D),0),_xlfn.IFNA(LOOKUP(U102,use_fish!A:A,use_fish!D:D),0),_xlfn.IFNA(LOOKUP(V102,use_fish!A:A,use_fish!D:D),0),_xlfn.IFNA(LOOKUP(W102,use_fish!A:A,use_fish!D:D),0),)</f>
        <v>100</v>
      </c>
      <c r="Q102">
        <v>87</v>
      </c>
    </row>
    <row r="103" spans="1:17">
      <c r="A103">
        <v>102</v>
      </c>
      <c r="B103">
        <v>1</v>
      </c>
      <c r="C103" t="s">
        <v>145</v>
      </c>
      <c r="H103">
        <f>SUM(_xlfn.IFNA(LOOKUP(Q103,use_fish!A:A,use_fish!D:D),0),_xlfn.IFNA(LOOKUP(R103,use_fish!A:A,use_fish!D:D),0),_xlfn.IFNA(LOOKUP(S103,use_fish!A:A,use_fish!D:D),0),_xlfn.IFNA(LOOKUP(T103,use_fish!A:A,use_fish!D:D),0),_xlfn.IFNA(LOOKUP(U103,use_fish!A:A,use_fish!D:D),0),_xlfn.IFNA(LOOKUP(V103,use_fish!A:A,use_fish!D:D),0),_xlfn.IFNA(LOOKUP(W103,use_fish!A:A,use_fish!D:D),0),)</f>
        <v>100</v>
      </c>
      <c r="Q103">
        <v>88</v>
      </c>
    </row>
    <row r="104" spans="1:17">
      <c r="A104">
        <v>103</v>
      </c>
      <c r="B104">
        <v>1</v>
      </c>
      <c r="C104" t="s">
        <v>146</v>
      </c>
      <c r="H104">
        <f>SUM(_xlfn.IFNA(LOOKUP(Q104,use_fish!A:A,use_fish!D:D),0),_xlfn.IFNA(LOOKUP(R104,use_fish!A:A,use_fish!D:D),0),_xlfn.IFNA(LOOKUP(S104,use_fish!A:A,use_fish!D:D),0),_xlfn.IFNA(LOOKUP(T104,use_fish!A:A,use_fish!D:D),0),_xlfn.IFNA(LOOKUP(U104,use_fish!A:A,use_fish!D:D),0),_xlfn.IFNA(LOOKUP(V104,use_fish!A:A,use_fish!D:D),0),_xlfn.IFNA(LOOKUP(W104,use_fish!A:A,use_fish!D:D),0),)</f>
        <v>100</v>
      </c>
      <c r="Q104">
        <v>89</v>
      </c>
    </row>
    <row r="105" spans="1:17">
      <c r="A105">
        <v>104</v>
      </c>
      <c r="B105">
        <v>1</v>
      </c>
      <c r="C105" t="s">
        <v>147</v>
      </c>
      <c r="H105">
        <f>SUM(_xlfn.IFNA(LOOKUP(Q105,use_fish!A:A,use_fish!D:D),0),_xlfn.IFNA(LOOKUP(R105,use_fish!A:A,use_fish!D:D),0),_xlfn.IFNA(LOOKUP(S105,use_fish!A:A,use_fish!D:D),0),_xlfn.IFNA(LOOKUP(T105,use_fish!A:A,use_fish!D:D),0),_xlfn.IFNA(LOOKUP(U105,use_fish!A:A,use_fish!D:D),0),_xlfn.IFNA(LOOKUP(V105,use_fish!A:A,use_fish!D:D),0),_xlfn.IFNA(LOOKUP(W105,use_fish!A:A,use_fish!D:D),0),)</f>
        <v>130</v>
      </c>
      <c r="Q105">
        <v>90</v>
      </c>
    </row>
    <row r="106" spans="1:17">
      <c r="A106">
        <v>105</v>
      </c>
      <c r="B106">
        <v>1</v>
      </c>
      <c r="C106" t="s">
        <v>148</v>
      </c>
      <c r="H106">
        <f>SUM(_xlfn.IFNA(LOOKUP(Q106,use_fish!A:A,use_fish!D:D),0),_xlfn.IFNA(LOOKUP(R106,use_fish!A:A,use_fish!D:D),0),_xlfn.IFNA(LOOKUP(S106,use_fish!A:A,use_fish!D:D),0),_xlfn.IFNA(LOOKUP(T106,use_fish!A:A,use_fish!D:D),0),_xlfn.IFNA(LOOKUP(U106,use_fish!A:A,use_fish!D:D),0),_xlfn.IFNA(LOOKUP(V106,use_fish!A:A,use_fish!D:D),0),_xlfn.IFNA(LOOKUP(W106,use_fish!A:A,use_fish!D:D),0),)</f>
        <v>120</v>
      </c>
      <c r="Q106">
        <v>91</v>
      </c>
    </row>
    <row r="107" spans="1:17">
      <c r="A107">
        <v>106</v>
      </c>
      <c r="B107">
        <v>1</v>
      </c>
      <c r="C107" t="s">
        <v>149</v>
      </c>
      <c r="H107">
        <f>SUM(_xlfn.IFNA(LOOKUP(Q107,use_fish!A:A,use_fish!D:D),0),_xlfn.IFNA(LOOKUP(R107,use_fish!A:A,use_fish!D:D),0),_xlfn.IFNA(LOOKUP(S107,use_fish!A:A,use_fish!D:D),0),_xlfn.IFNA(LOOKUP(T107,use_fish!A:A,use_fish!D:D),0),_xlfn.IFNA(LOOKUP(U107,use_fish!A:A,use_fish!D:D),0),_xlfn.IFNA(LOOKUP(V107,use_fish!A:A,use_fish!D:D),0),_xlfn.IFNA(LOOKUP(W107,use_fish!A:A,use_fish!D:D),0),)</f>
        <v>183</v>
      </c>
      <c r="Q107">
        <v>92</v>
      </c>
    </row>
    <row r="108" spans="1:17">
      <c r="A108">
        <v>107</v>
      </c>
      <c r="B108">
        <v>1</v>
      </c>
      <c r="C108" t="s">
        <v>150</v>
      </c>
      <c r="H108">
        <f>SUM(_xlfn.IFNA(LOOKUP(Q108,use_fish!A:A,use_fish!D:D),0),_xlfn.IFNA(LOOKUP(R108,use_fish!A:A,use_fish!D:D),0),_xlfn.IFNA(LOOKUP(S108,use_fish!A:A,use_fish!D:D),0),_xlfn.IFNA(LOOKUP(T108,use_fish!A:A,use_fish!D:D),0),_xlfn.IFNA(LOOKUP(U108,use_fish!A:A,use_fish!D:D),0),_xlfn.IFNA(LOOKUP(V108,use_fish!A:A,use_fish!D:D),0),_xlfn.IFNA(LOOKUP(W108,use_fish!A:A,use_fish!D:D),0),)</f>
        <v>183</v>
      </c>
      <c r="Q108">
        <v>93</v>
      </c>
    </row>
    <row r="109" spans="1:17">
      <c r="A109">
        <v>108</v>
      </c>
      <c r="B109">
        <v>1</v>
      </c>
      <c r="C109" t="s">
        <v>151</v>
      </c>
      <c r="H109">
        <f>SUM(_xlfn.IFNA(LOOKUP(Q109,use_fish!A:A,use_fish!D:D),0),_xlfn.IFNA(LOOKUP(R109,use_fish!A:A,use_fish!D:D),0),_xlfn.IFNA(LOOKUP(S109,use_fish!A:A,use_fish!D:D),0),_xlfn.IFNA(LOOKUP(T109,use_fish!A:A,use_fish!D:D),0),_xlfn.IFNA(LOOKUP(U109,use_fish!A:A,use_fish!D:D),0),_xlfn.IFNA(LOOKUP(V109,use_fish!A:A,use_fish!D:D),0),_xlfn.IFNA(LOOKUP(W109,use_fish!A:A,use_fish!D:D),0),)</f>
        <v>170</v>
      </c>
      <c r="Q109">
        <v>94</v>
      </c>
    </row>
    <row r="110" spans="1:17">
      <c r="A110">
        <v>109</v>
      </c>
      <c r="B110">
        <v>1</v>
      </c>
      <c r="C110" t="s">
        <v>152</v>
      </c>
      <c r="H110">
        <f>SUM(_xlfn.IFNA(LOOKUP(Q110,use_fish!A:A,use_fish!D:D),0),_xlfn.IFNA(LOOKUP(R110,use_fish!A:A,use_fish!D:D),0),_xlfn.IFNA(LOOKUP(S110,use_fish!A:A,use_fish!D:D),0),_xlfn.IFNA(LOOKUP(T110,use_fish!A:A,use_fish!D:D),0),_xlfn.IFNA(LOOKUP(U110,use_fish!A:A,use_fish!D:D),0),_xlfn.IFNA(LOOKUP(V110,use_fish!A:A,use_fish!D:D),0),_xlfn.IFNA(LOOKUP(W110,use_fish!A:A,use_fish!D:D),0),)</f>
        <v>170</v>
      </c>
      <c r="Q110">
        <v>95</v>
      </c>
    </row>
    <row r="111" spans="1:17">
      <c r="A111">
        <v>110</v>
      </c>
      <c r="B111">
        <v>1</v>
      </c>
      <c r="C111" t="s">
        <v>153</v>
      </c>
      <c r="H111">
        <f>SUM(_xlfn.IFNA(LOOKUP(Q111,use_fish!A:A,use_fish!D:D),0),_xlfn.IFNA(LOOKUP(R111,use_fish!A:A,use_fish!D:D),0),_xlfn.IFNA(LOOKUP(S111,use_fish!A:A,use_fish!D:D),0),_xlfn.IFNA(LOOKUP(T111,use_fish!A:A,use_fish!D:D),0),_xlfn.IFNA(LOOKUP(U111,use_fish!A:A,use_fish!D:D),0),_xlfn.IFNA(LOOKUP(V111,use_fish!A:A,use_fish!D:D),0),_xlfn.IFNA(LOOKUP(W111,use_fish!A:A,use_fish!D:D),0),)</f>
        <v>170</v>
      </c>
      <c r="Q111">
        <v>96</v>
      </c>
    </row>
    <row r="112" spans="1:17">
      <c r="A112">
        <v>111</v>
      </c>
      <c r="B112">
        <v>1</v>
      </c>
      <c r="C112" t="s">
        <v>154</v>
      </c>
      <c r="H112">
        <f>SUM(_xlfn.IFNA(LOOKUP(Q112,use_fish!A:A,use_fish!D:D),0),_xlfn.IFNA(LOOKUP(R112,use_fish!A:A,use_fish!D:D),0),_xlfn.IFNA(LOOKUP(S112,use_fish!A:A,use_fish!D:D),0),_xlfn.IFNA(LOOKUP(T112,use_fish!A:A,use_fish!D:D),0),_xlfn.IFNA(LOOKUP(U112,use_fish!A:A,use_fish!D:D),0),_xlfn.IFNA(LOOKUP(V112,use_fish!A:A,use_fish!D:D),0),_xlfn.IFNA(LOOKUP(W112,use_fish!A:A,use_fish!D:D),0),)</f>
        <v>120</v>
      </c>
      <c r="Q112">
        <v>97</v>
      </c>
    </row>
    <row r="113" spans="1:20">
      <c r="A113">
        <v>112</v>
      </c>
      <c r="B113">
        <v>1</v>
      </c>
      <c r="C113" t="s">
        <v>155</v>
      </c>
      <c r="H113">
        <f>SUM(_xlfn.IFNA(LOOKUP(Q113,use_fish!A:A,use_fish!D:D),0),_xlfn.IFNA(LOOKUP(R113,use_fish!A:A,use_fish!D:D),0),_xlfn.IFNA(LOOKUP(S113,use_fish!A:A,use_fish!D:D),0),_xlfn.IFNA(LOOKUP(T113,use_fish!A:A,use_fish!D:D),0),_xlfn.IFNA(LOOKUP(U113,use_fish!A:A,use_fish!D:D),0),_xlfn.IFNA(LOOKUP(V113,use_fish!A:A,use_fish!D:D),0),_xlfn.IFNA(LOOKUP(W113,use_fish!A:A,use_fish!D:D),0),)</f>
        <v>120</v>
      </c>
      <c r="Q113">
        <v>98</v>
      </c>
    </row>
    <row r="114" spans="1:20">
      <c r="A114">
        <v>113</v>
      </c>
      <c r="B114">
        <v>1</v>
      </c>
      <c r="C114" t="s">
        <v>156</v>
      </c>
      <c r="H114">
        <f>SUM(_xlfn.IFNA(LOOKUP(Q114,use_fish!A:A,use_fish!D:D),0),_xlfn.IFNA(LOOKUP(R114,use_fish!A:A,use_fish!D:D),0),_xlfn.IFNA(LOOKUP(S114,use_fish!A:A,use_fish!D:D),0),_xlfn.IFNA(LOOKUP(T114,use_fish!A:A,use_fish!D:D),0),_xlfn.IFNA(LOOKUP(U114,use_fish!A:A,use_fish!D:D),0),_xlfn.IFNA(LOOKUP(V114,use_fish!A:A,use_fish!D:D),0),_xlfn.IFNA(LOOKUP(W114,use_fish!A:A,use_fish!D:D),0),)</f>
        <v>120</v>
      </c>
      <c r="Q114">
        <v>99</v>
      </c>
    </row>
    <row r="115" spans="1:20">
      <c r="A115">
        <v>114</v>
      </c>
      <c r="B115">
        <v>1</v>
      </c>
      <c r="C115" t="s">
        <v>157</v>
      </c>
      <c r="H115">
        <f>SUM(_xlfn.IFNA(LOOKUP(Q115,use_fish!A:A,use_fish!D:D),0),_xlfn.IFNA(LOOKUP(R115,use_fish!A:A,use_fish!D:D),0),_xlfn.IFNA(LOOKUP(S115,use_fish!A:A,use_fish!D:D),0),_xlfn.IFNA(LOOKUP(T115,use_fish!A:A,use_fish!D:D),0),_xlfn.IFNA(LOOKUP(U115,use_fish!A:A,use_fish!D:D),0),_xlfn.IFNA(LOOKUP(V115,use_fish!A:A,use_fish!D:D),0),_xlfn.IFNA(LOOKUP(W115,use_fish!A:A,use_fish!D:D),0),)</f>
        <v>150</v>
      </c>
      <c r="Q115">
        <v>100</v>
      </c>
    </row>
    <row r="116" spans="1:20">
      <c r="A116">
        <v>115</v>
      </c>
      <c r="B116">
        <v>1</v>
      </c>
      <c r="C116" t="s">
        <v>158</v>
      </c>
      <c r="H116">
        <f>SUM(_xlfn.IFNA(LOOKUP(Q116,use_fish!A:A,use_fish!D:D),0),_xlfn.IFNA(LOOKUP(R116,use_fish!A:A,use_fish!D:D),0),_xlfn.IFNA(LOOKUP(S116,use_fish!A:A,use_fish!D:D),0),_xlfn.IFNA(LOOKUP(T116,use_fish!A:A,use_fish!D:D),0),_xlfn.IFNA(LOOKUP(U116,use_fish!A:A,use_fish!D:D),0),_xlfn.IFNA(LOOKUP(V116,use_fish!A:A,use_fish!D:D),0),_xlfn.IFNA(LOOKUP(W116,use_fish!A:A,use_fish!D:D),0),)</f>
        <v>140</v>
      </c>
      <c r="Q116">
        <v>101</v>
      </c>
    </row>
    <row r="117" spans="1:20">
      <c r="A117">
        <v>116</v>
      </c>
      <c r="B117">
        <v>3</v>
      </c>
      <c r="C117" t="s">
        <v>203</v>
      </c>
      <c r="H117">
        <f>SUM(_xlfn.IFNA(LOOKUP(Q117,use_fish!A:A,use_fish!D:D),0),_xlfn.IFNA(LOOKUP(R117,use_fish!A:A,use_fish!D:D),0),_xlfn.IFNA(LOOKUP(S117,use_fish!A:A,use_fish!D:D),0),_xlfn.IFNA(LOOKUP(T117,use_fish!A:A,use_fish!D:D),0),_xlfn.IFNA(LOOKUP(U117,use_fish!A:A,use_fish!D:D),0),_xlfn.IFNA(LOOKUP(V117,use_fish!A:A,use_fish!D:D),0),_xlfn.IFNA(LOOKUP(W117,use_fish!A:A,use_fish!D:D),0),)</f>
        <v>66</v>
      </c>
      <c r="Q117">
        <v>4</v>
      </c>
      <c r="R117">
        <v>9</v>
      </c>
      <c r="S117">
        <v>4</v>
      </c>
    </row>
    <row r="118" spans="1:20">
      <c r="A118">
        <v>117</v>
      </c>
      <c r="B118">
        <v>3</v>
      </c>
      <c r="C118" t="s">
        <v>204</v>
      </c>
      <c r="H118">
        <f>SUM(_xlfn.IFNA(LOOKUP(Q118,use_fish!A:A,use_fish!D:D),0),_xlfn.IFNA(LOOKUP(R118,use_fish!A:A,use_fish!D:D),0),_xlfn.IFNA(LOOKUP(S118,use_fish!A:A,use_fish!D:D),0),_xlfn.IFNA(LOOKUP(T118,use_fish!A:A,use_fish!D:D),0),_xlfn.IFNA(LOOKUP(U118,use_fish!A:A,use_fish!D:D),0),_xlfn.IFNA(LOOKUP(V118,use_fish!A:A,use_fish!D:D),0),_xlfn.IFNA(LOOKUP(W118,use_fish!A:A,use_fish!D:D),0),)</f>
        <v>70</v>
      </c>
      <c r="Q118">
        <v>5</v>
      </c>
      <c r="R118">
        <v>8</v>
      </c>
      <c r="S118">
        <v>5</v>
      </c>
    </row>
    <row r="119" spans="1:20">
      <c r="A119">
        <v>118</v>
      </c>
      <c r="B119">
        <v>3</v>
      </c>
      <c r="C119" t="s">
        <v>205</v>
      </c>
      <c r="H119">
        <f>SUM(_xlfn.IFNA(LOOKUP(Q119,use_fish!A:A,use_fish!D:D),0),_xlfn.IFNA(LOOKUP(R119,use_fish!A:A,use_fish!D:D),0),_xlfn.IFNA(LOOKUP(S119,use_fish!A:A,use_fish!D:D),0),_xlfn.IFNA(LOOKUP(T119,use_fish!A:A,use_fish!D:D),0),_xlfn.IFNA(LOOKUP(U119,use_fish!A:A,use_fish!D:D),0),_xlfn.IFNA(LOOKUP(V119,use_fish!A:A,use_fish!D:D),0),_xlfn.IFNA(LOOKUP(W119,use_fish!A:A,use_fish!D:D),0),)</f>
        <v>70</v>
      </c>
      <c r="Q119">
        <v>6</v>
      </c>
      <c r="R119">
        <v>7</v>
      </c>
      <c r="S119">
        <v>6</v>
      </c>
    </row>
    <row r="120" spans="1:20">
      <c r="A120">
        <v>119</v>
      </c>
      <c r="B120">
        <v>3</v>
      </c>
      <c r="C120" t="s">
        <v>206</v>
      </c>
      <c r="H120">
        <f>SUM(_xlfn.IFNA(LOOKUP(Q120,use_fish!A:A,use_fish!D:D),0),_xlfn.IFNA(LOOKUP(R120,use_fish!A:A,use_fish!D:D),0),_xlfn.IFNA(LOOKUP(S120,use_fish!A:A,use_fish!D:D),0),_xlfn.IFNA(LOOKUP(T120,use_fish!A:A,use_fish!D:D),0),_xlfn.IFNA(LOOKUP(U120,use_fish!A:A,use_fish!D:D),0),_xlfn.IFNA(LOOKUP(V120,use_fish!A:A,use_fish!D:D),0),_xlfn.IFNA(LOOKUP(W120,use_fish!A:A,use_fish!D:D),0),)</f>
        <v>100</v>
      </c>
      <c r="Q120">
        <v>7</v>
      </c>
      <c r="R120">
        <v>8</v>
      </c>
      <c r="S120">
        <v>7</v>
      </c>
    </row>
    <row r="121" spans="1:20">
      <c r="A121">
        <v>120</v>
      </c>
      <c r="B121">
        <v>3</v>
      </c>
      <c r="C121" t="s">
        <v>207</v>
      </c>
      <c r="H121">
        <f>SUM(_xlfn.IFNA(LOOKUP(Q121,use_fish!A:A,use_fish!D:D),0),_xlfn.IFNA(LOOKUP(R121,use_fish!A:A,use_fish!D:D),0),_xlfn.IFNA(LOOKUP(S121,use_fish!A:A,use_fish!D:D),0),_xlfn.IFNA(LOOKUP(T121,use_fish!A:A,use_fish!D:D),0),_xlfn.IFNA(LOOKUP(U121,use_fish!A:A,use_fish!D:D),0),_xlfn.IFNA(LOOKUP(V121,use_fish!A:A,use_fish!D:D),0),_xlfn.IFNA(LOOKUP(W121,use_fish!A:A,use_fish!D:D),0),)</f>
        <v>140</v>
      </c>
      <c r="Q121">
        <v>8</v>
      </c>
      <c r="R121">
        <v>10</v>
      </c>
      <c r="S121">
        <v>8</v>
      </c>
    </row>
    <row r="122" spans="1:20">
      <c r="A122">
        <v>121</v>
      </c>
      <c r="B122">
        <v>3</v>
      </c>
      <c r="C122" t="s">
        <v>208</v>
      </c>
      <c r="H122">
        <f>SUM(_xlfn.IFNA(LOOKUP(Q122,use_fish!A:A,use_fish!D:D),0),_xlfn.IFNA(LOOKUP(R122,use_fish!A:A,use_fish!D:D),0),_xlfn.IFNA(LOOKUP(S122,use_fish!A:A,use_fish!D:D),0),_xlfn.IFNA(LOOKUP(T122,use_fish!A:A,use_fish!D:D),0),_xlfn.IFNA(LOOKUP(U122,use_fish!A:A,use_fish!D:D),0),_xlfn.IFNA(LOOKUP(V122,use_fish!A:A,use_fish!D:D),0),_xlfn.IFNA(LOOKUP(W122,use_fish!A:A,use_fish!D:D),0),)</f>
        <v>56</v>
      </c>
      <c r="Q122">
        <v>4</v>
      </c>
      <c r="R122">
        <v>8</v>
      </c>
      <c r="S122">
        <v>4</v>
      </c>
    </row>
    <row r="123" spans="1:20">
      <c r="A123">
        <v>122</v>
      </c>
      <c r="B123">
        <v>4</v>
      </c>
      <c r="C123" t="s">
        <v>159</v>
      </c>
      <c r="G123" t="s">
        <v>160</v>
      </c>
      <c r="H123">
        <f>SUM(_xlfn.IFNA(LOOKUP(Q123,use_fish!A:A,use_fish!D:D),0),_xlfn.IFNA(LOOKUP(R123,use_fish!A:A,use_fish!D:D),0),_xlfn.IFNA(LOOKUP(S123,use_fish!A:A,use_fish!D:D),0),_xlfn.IFNA(LOOKUP(T123,use_fish!A:A,use_fish!D:D),0),_xlfn.IFNA(LOOKUP(U123,use_fish!A:A,use_fish!D:D),0),_xlfn.IFNA(LOOKUP(V123,use_fish!A:A,use_fish!D:D),0),_xlfn.IFNA(LOOKUP(W123,use_fish!A:A,use_fish!D:D),0),)</f>
        <v>125</v>
      </c>
      <c r="Q123">
        <v>5</v>
      </c>
      <c r="R123">
        <v>8</v>
      </c>
      <c r="S123">
        <v>11</v>
      </c>
    </row>
    <row r="124" spans="1:20">
      <c r="A124">
        <v>123</v>
      </c>
      <c r="B124">
        <v>4</v>
      </c>
      <c r="C124" t="s">
        <v>214</v>
      </c>
      <c r="G124" t="s">
        <v>161</v>
      </c>
      <c r="H124">
        <f>SUM(_xlfn.IFNA(LOOKUP(Q124,use_fish!A:A,use_fish!D:D),0),_xlfn.IFNA(LOOKUP(R124,use_fish!A:A,use_fish!D:D),0),_xlfn.IFNA(LOOKUP(S124,use_fish!A:A,use_fish!D:D),0),_xlfn.IFNA(LOOKUP(T124,use_fish!A:A,use_fish!D:D),0),_xlfn.IFNA(LOOKUP(U124,use_fish!A:A,use_fish!D:D),0),_xlfn.IFNA(LOOKUP(V124,use_fish!A:A,use_fish!D:D),0),_xlfn.IFNA(LOOKUP(W124,use_fish!A:A,use_fish!D:D),0),)</f>
        <v>130</v>
      </c>
      <c r="Q124">
        <v>6</v>
      </c>
      <c r="R124">
        <v>9</v>
      </c>
      <c r="S124">
        <v>10</v>
      </c>
    </row>
    <row r="125" spans="1:20">
      <c r="A125">
        <v>124</v>
      </c>
      <c r="B125">
        <v>4</v>
      </c>
      <c r="C125" t="s">
        <v>215</v>
      </c>
      <c r="G125" t="s">
        <v>162</v>
      </c>
      <c r="H125">
        <f>SUM(_xlfn.IFNA(LOOKUP(Q125,use_fish!A:A,use_fish!D:D),0),_xlfn.IFNA(LOOKUP(R125,use_fish!A:A,use_fish!D:D),0),_xlfn.IFNA(LOOKUP(S125,use_fish!A:A,use_fish!D:D),0),_xlfn.IFNA(LOOKUP(T125,use_fish!A:A,use_fish!D:D),0),_xlfn.IFNA(LOOKUP(U125,use_fish!A:A,use_fish!D:D),0),_xlfn.IFNA(LOOKUP(V125,use_fish!A:A,use_fish!D:D),0),_xlfn.IFNA(LOOKUP(W125,use_fish!A:A,use_fish!D:D),0),)</f>
        <v>130</v>
      </c>
      <c r="Q125">
        <v>7</v>
      </c>
      <c r="R125">
        <v>10</v>
      </c>
      <c r="S125">
        <v>8</v>
      </c>
    </row>
    <row r="126" spans="1:20">
      <c r="A126">
        <v>125</v>
      </c>
      <c r="B126">
        <v>4</v>
      </c>
      <c r="C126" t="s">
        <v>216</v>
      </c>
      <c r="G126" t="s">
        <v>163</v>
      </c>
      <c r="H126">
        <f>SUM(_xlfn.IFNA(LOOKUP(Q126,use_fish!A:A,use_fish!D:D),0),_xlfn.IFNA(LOOKUP(R126,use_fish!A:A,use_fish!D:D),0),_xlfn.IFNA(LOOKUP(S126,use_fish!A:A,use_fish!D:D),0),_xlfn.IFNA(LOOKUP(T126,use_fish!A:A,use_fish!D:D),0),_xlfn.IFNA(LOOKUP(U126,use_fish!A:A,use_fish!D:D),0),_xlfn.IFNA(LOOKUP(V126,use_fish!A:A,use_fish!D:D),0),_xlfn.IFNA(LOOKUP(W126,use_fish!A:A,use_fish!D:D),0),)</f>
        <v>130</v>
      </c>
      <c r="Q126">
        <v>8</v>
      </c>
      <c r="R126">
        <v>10</v>
      </c>
      <c r="S126">
        <v>7</v>
      </c>
    </row>
    <row r="127" spans="1:20">
      <c r="A127">
        <v>126</v>
      </c>
      <c r="B127">
        <v>4</v>
      </c>
      <c r="C127" t="s">
        <v>217</v>
      </c>
      <c r="G127" t="s">
        <v>162</v>
      </c>
      <c r="H127">
        <f>SUM(_xlfn.IFNA(LOOKUP(Q127,use_fish!A:A,use_fish!D:D),0),_xlfn.IFNA(LOOKUP(R127,use_fish!A:A,use_fish!D:D),0),_xlfn.IFNA(LOOKUP(S127,use_fish!A:A,use_fish!D:D),0),_xlfn.IFNA(LOOKUP(T127,use_fish!A:A,use_fish!D:D),0),_xlfn.IFNA(LOOKUP(U127,use_fish!A:A,use_fish!D:D),0),_xlfn.IFNA(LOOKUP(V127,use_fish!A:A,use_fish!D:D),0),_xlfn.IFNA(LOOKUP(W127,use_fish!A:A,use_fish!D:D),0),)</f>
        <v>73</v>
      </c>
      <c r="Q127">
        <v>4</v>
      </c>
      <c r="R127">
        <v>5</v>
      </c>
      <c r="S127">
        <v>9</v>
      </c>
    </row>
    <row r="128" spans="1:20">
      <c r="A128">
        <v>127</v>
      </c>
      <c r="B128">
        <v>4</v>
      </c>
      <c r="C128" t="s">
        <v>218</v>
      </c>
      <c r="G128" t="s">
        <v>164</v>
      </c>
      <c r="H128">
        <f>SUM(_xlfn.IFNA(LOOKUP(Q128,use_fish!A:A,use_fish!D:D),0),_xlfn.IFNA(LOOKUP(R128,use_fish!A:A,use_fish!D:D),0),_xlfn.IFNA(LOOKUP(S128,use_fish!A:A,use_fish!D:D),0),_xlfn.IFNA(LOOKUP(T128,use_fish!A:A,use_fish!D:D),0),_xlfn.IFNA(LOOKUP(U128,use_fish!A:A,use_fish!D:D),0),_xlfn.IFNA(LOOKUP(V128,use_fish!A:A,use_fish!D:D),0),_xlfn.IFNA(LOOKUP(W128,use_fish!A:A,use_fish!D:D),0),)</f>
        <v>123</v>
      </c>
      <c r="Q128">
        <v>4</v>
      </c>
      <c r="R128">
        <v>5</v>
      </c>
      <c r="S128">
        <v>8</v>
      </c>
      <c r="T128">
        <v>10</v>
      </c>
    </row>
    <row r="129" spans="1:20">
      <c r="A129">
        <v>128</v>
      </c>
      <c r="B129">
        <v>4</v>
      </c>
      <c r="C129" t="s">
        <v>219</v>
      </c>
      <c r="G129" t="s">
        <v>165</v>
      </c>
      <c r="H129">
        <f>SUM(_xlfn.IFNA(LOOKUP(Q129,use_fish!A:A,use_fish!D:D),0),_xlfn.IFNA(LOOKUP(R129,use_fish!A:A,use_fish!D:D),0),_xlfn.IFNA(LOOKUP(S129,use_fish!A:A,use_fish!D:D),0),_xlfn.IFNA(LOOKUP(T129,use_fish!A:A,use_fish!D:D),0),_xlfn.IFNA(LOOKUP(U129,use_fish!A:A,use_fish!D:D),0),_xlfn.IFNA(LOOKUP(V129,use_fish!A:A,use_fish!D:D),0),_xlfn.IFNA(LOOKUP(W129,use_fish!A:A,use_fish!D:D),0),)</f>
        <v>123</v>
      </c>
      <c r="Q129">
        <v>4</v>
      </c>
      <c r="R129">
        <v>5</v>
      </c>
      <c r="S129">
        <v>10</v>
      </c>
      <c r="T129">
        <v>8</v>
      </c>
    </row>
    <row r="130" spans="1:20">
      <c r="A130">
        <v>129</v>
      </c>
      <c r="B130">
        <v>1</v>
      </c>
      <c r="C130" t="s">
        <v>237</v>
      </c>
      <c r="H130">
        <f>SUM(_xlfn.IFNA(LOOKUP(Q130,[1]use_fish!A:A,[1]use_fish!D:D),0),_xlfn.IFNA(LOOKUP(R130,[1]use_fish!A:A,[1]use_fish!D:D),0),_xlfn.IFNA(LOOKUP(S130,[1]use_fish!A:A,[1]use_fish!D:D),0),_xlfn.IFNA(LOOKUP(T130,[1]use_fish!A:A,[1]use_fish!D:D),0),_xlfn.IFNA(LOOKUP(U130,[1]use_fish!A:A,[1]use_fish!D:D),0),_xlfn.IFNA(LOOKUP(V130,[1]use_fish!A:A,[1]use_fish!D:D),0),_xlfn.IFNA(LOOKUP(W130,[1]use_fish!A:A,[1]use_fish!D:D),0),)</f>
        <v>50</v>
      </c>
      <c r="Q130">
        <v>102</v>
      </c>
    </row>
    <row r="131" spans="1:20">
      <c r="A131">
        <v>130</v>
      </c>
      <c r="B131">
        <v>1</v>
      </c>
      <c r="C131" t="s">
        <v>226</v>
      </c>
      <c r="H131">
        <f>SUM(_xlfn.IFNA(LOOKUP(Q131,[1]use_fish!A:A,[1]use_fish!D:D),0),_xlfn.IFNA(LOOKUP(R131,[1]use_fish!A:A,[1]use_fish!D:D),0),_xlfn.IFNA(LOOKUP(S131,[1]use_fish!A:A,[1]use_fish!D:D),0),_xlfn.IFNA(LOOKUP(T131,[1]use_fish!A:A,[1]use_fish!D:D),0),_xlfn.IFNA(LOOKUP(U131,[1]use_fish!A:A,[1]use_fish!D:D),0),_xlfn.IFNA(LOOKUP(V131,[1]use_fish!A:A,[1]use_fish!D:D),0),_xlfn.IFNA(LOOKUP(W131,[1]use_fish!A:A,[1]use_fish!D:D),0),)</f>
        <v>60</v>
      </c>
      <c r="Q131">
        <v>103</v>
      </c>
    </row>
    <row r="132" spans="1:20">
      <c r="A132">
        <v>131</v>
      </c>
      <c r="B132">
        <v>1</v>
      </c>
      <c r="C132" t="s">
        <v>227</v>
      </c>
      <c r="H132">
        <f>SUM(_xlfn.IFNA(LOOKUP(Q132,[1]use_fish!A:A,[1]use_fish!D:D),0),_xlfn.IFNA(LOOKUP(R132,[1]use_fish!A:A,[1]use_fish!D:D),0),_xlfn.IFNA(LOOKUP(S132,[1]use_fish!A:A,[1]use_fish!D:D),0),_xlfn.IFNA(LOOKUP(T132,[1]use_fish!A:A,[1]use_fish!D:D),0),_xlfn.IFNA(LOOKUP(U132,[1]use_fish!A:A,[1]use_fish!D:D),0),_xlfn.IFNA(LOOKUP(V132,[1]use_fish!A:A,[1]use_fish!D:D),0),_xlfn.IFNA(LOOKUP(W132,[1]use_fish!A:A,[1]use_fish!D:D),0),)</f>
        <v>70</v>
      </c>
      <c r="Q132">
        <v>104</v>
      </c>
    </row>
    <row r="133" spans="1:20">
      <c r="A133">
        <v>132</v>
      </c>
      <c r="B133">
        <v>1</v>
      </c>
      <c r="C133" t="s">
        <v>228</v>
      </c>
      <c r="H133">
        <f>SUM(_xlfn.IFNA(LOOKUP(Q133,[1]use_fish!A:A,[1]use_fish!D:D),0),_xlfn.IFNA(LOOKUP(R133,[1]use_fish!A:A,[1]use_fish!D:D),0),_xlfn.IFNA(LOOKUP(S133,[1]use_fish!A:A,[1]use_fish!D:D),0),_xlfn.IFNA(LOOKUP(T133,[1]use_fish!A:A,[1]use_fish!D:D),0),_xlfn.IFNA(LOOKUP(U133,[1]use_fish!A:A,[1]use_fish!D:D),0),_xlfn.IFNA(LOOKUP(V133,[1]use_fish!A:A,[1]use_fish!D:D),0),_xlfn.IFNA(LOOKUP(W133,[1]use_fish!A:A,[1]use_fish!D:D),0),)</f>
        <v>80</v>
      </c>
      <c r="Q133">
        <v>105</v>
      </c>
    </row>
    <row r="134" spans="1:20">
      <c r="A134">
        <v>133</v>
      </c>
      <c r="B134">
        <v>1</v>
      </c>
      <c r="C134" t="s">
        <v>229</v>
      </c>
      <c r="H134">
        <f>SUM(_xlfn.IFNA(LOOKUP(Q134,[1]use_fish!A:A,[1]use_fish!D:D),0),_xlfn.IFNA(LOOKUP(R134,[1]use_fish!A:A,[1]use_fish!D:D),0),_xlfn.IFNA(LOOKUP(S134,[1]use_fish!A:A,[1]use_fish!D:D),0),_xlfn.IFNA(LOOKUP(T134,[1]use_fish!A:A,[1]use_fish!D:D),0),_xlfn.IFNA(LOOKUP(U134,[1]use_fish!A:A,[1]use_fish!D:D),0),_xlfn.IFNA(LOOKUP(V134,[1]use_fish!A:A,[1]use_fish!D:D),0),_xlfn.IFNA(LOOKUP(W134,[1]use_fish!A:A,[1]use_fish!D:D),0),)</f>
        <v>110</v>
      </c>
      <c r="Q134">
        <v>106</v>
      </c>
    </row>
    <row r="135" spans="1:20">
      <c r="A135">
        <v>134</v>
      </c>
      <c r="B135">
        <v>1</v>
      </c>
      <c r="C135" t="s">
        <v>230</v>
      </c>
      <c r="H135">
        <f>SUM(_xlfn.IFNA(LOOKUP(Q135,[1]use_fish!A:A,[1]use_fish!D:D),0),_xlfn.IFNA(LOOKUP(R135,[1]use_fish!A:A,[1]use_fish!D:D),0),_xlfn.IFNA(LOOKUP(S135,[1]use_fish!A:A,[1]use_fish!D:D),0),_xlfn.IFNA(LOOKUP(T135,[1]use_fish!A:A,[1]use_fish!D:D),0),_xlfn.IFNA(LOOKUP(U135,[1]use_fish!A:A,[1]use_fish!D:D),0),_xlfn.IFNA(LOOKUP(V135,[1]use_fish!A:A,[1]use_fish!D:D),0),_xlfn.IFNA(LOOKUP(W135,[1]use_fish!A:A,[1]use_fish!D:D),0),)</f>
        <v>90</v>
      </c>
      <c r="Q135">
        <v>107</v>
      </c>
    </row>
    <row r="136" spans="1:20">
      <c r="A136">
        <v>135</v>
      </c>
      <c r="B136">
        <v>1</v>
      </c>
      <c r="C136" t="s">
        <v>231</v>
      </c>
      <c r="H136">
        <f>SUM(_xlfn.IFNA(LOOKUP(Q136,[1]use_fish!A:A,[1]use_fish!D:D),0),_xlfn.IFNA(LOOKUP(R136,[1]use_fish!A:A,[1]use_fish!D:D),0),_xlfn.IFNA(LOOKUP(S136,[1]use_fish!A:A,[1]use_fish!D:D),0),_xlfn.IFNA(LOOKUP(T136,[1]use_fish!A:A,[1]use_fish!D:D),0),_xlfn.IFNA(LOOKUP(U136,[1]use_fish!A:A,[1]use_fish!D:D),0),_xlfn.IFNA(LOOKUP(V136,[1]use_fish!A:A,[1]use_fish!D:D),0),_xlfn.IFNA(LOOKUP(W136,[1]use_fish!A:A,[1]use_fish!D:D),0),)</f>
        <v>110</v>
      </c>
      <c r="Q136">
        <v>108</v>
      </c>
    </row>
    <row r="137" spans="1:20">
      <c r="A137">
        <v>136</v>
      </c>
      <c r="B137">
        <v>1</v>
      </c>
      <c r="C137" t="s">
        <v>232</v>
      </c>
      <c r="H137">
        <f>SUM(_xlfn.IFNA(LOOKUP(Q137,[1]use_fish!A:A,[1]use_fish!D:D),0),_xlfn.IFNA(LOOKUP(R137,[1]use_fish!A:A,[1]use_fish!D:D),0),_xlfn.IFNA(LOOKUP(S137,[1]use_fish!A:A,[1]use_fish!D:D),0),_xlfn.IFNA(LOOKUP(T137,[1]use_fish!A:A,[1]use_fish!D:D),0),_xlfn.IFNA(LOOKUP(U137,[1]use_fish!A:A,[1]use_fish!D:D),0),_xlfn.IFNA(LOOKUP(V137,[1]use_fish!A:A,[1]use_fish!D:D),0),_xlfn.IFNA(LOOKUP(W137,[1]use_fish!A:A,[1]use_fish!D:D),0),)</f>
        <v>130</v>
      </c>
      <c r="Q137">
        <v>109</v>
      </c>
    </row>
    <row r="138" spans="1:20">
      <c r="A138">
        <v>137</v>
      </c>
      <c r="B138">
        <v>1</v>
      </c>
      <c r="C138" t="s">
        <v>233</v>
      </c>
      <c r="H138">
        <f>SUM(_xlfn.IFNA(LOOKUP(Q138,[1]use_fish!A:A,[1]use_fish!D:D),0),_xlfn.IFNA(LOOKUP(R138,[1]use_fish!A:A,[1]use_fish!D:D),0),_xlfn.IFNA(LOOKUP(S138,[1]use_fish!A:A,[1]use_fish!D:D),0),_xlfn.IFNA(LOOKUP(T138,[1]use_fish!A:A,[1]use_fish!D:D),0),_xlfn.IFNA(LOOKUP(U138,[1]use_fish!A:A,[1]use_fish!D:D),0),_xlfn.IFNA(LOOKUP(V138,[1]use_fish!A:A,[1]use_fish!D:D),0),_xlfn.IFNA(LOOKUP(W138,[1]use_fish!A:A,[1]use_fish!D:D),0),)</f>
        <v>50</v>
      </c>
      <c r="Q138">
        <v>110</v>
      </c>
    </row>
    <row r="139" spans="1:20">
      <c r="A139">
        <v>138</v>
      </c>
      <c r="B139">
        <v>1</v>
      </c>
      <c r="C139" t="s">
        <v>234</v>
      </c>
      <c r="H139">
        <f>SUM(_xlfn.IFNA(LOOKUP(Q139,[1]use_fish!A:A,[1]use_fish!D:D),0),_xlfn.IFNA(LOOKUP(R139,[1]use_fish!A:A,[1]use_fish!D:D),0),_xlfn.IFNA(LOOKUP(S139,[1]use_fish!A:A,[1]use_fish!D:D),0),_xlfn.IFNA(LOOKUP(T139,[1]use_fish!A:A,[1]use_fish!D:D),0),_xlfn.IFNA(LOOKUP(U139,[1]use_fish!A:A,[1]use_fish!D:D),0),_xlfn.IFNA(LOOKUP(V139,[1]use_fish!A:A,[1]use_fish!D:D),0),_xlfn.IFNA(LOOKUP(W139,[1]use_fish!A:A,[1]use_fish!D:D),0),)</f>
        <v>60</v>
      </c>
      <c r="Q139">
        <v>111</v>
      </c>
    </row>
    <row r="140" spans="1:20">
      <c r="A140">
        <v>139</v>
      </c>
      <c r="B140">
        <v>1</v>
      </c>
      <c r="C140" t="s">
        <v>238</v>
      </c>
      <c r="H140">
        <f>SUM(_xlfn.IFNA(LOOKUP(Q140,[1]use_fish!A:A,[1]use_fish!D:D),0),_xlfn.IFNA(LOOKUP(R140,[1]use_fish!A:A,[1]use_fish!D:D),0),_xlfn.IFNA(LOOKUP(S140,[1]use_fish!A:A,[1]use_fish!D:D),0),_xlfn.IFNA(LOOKUP(T140,[1]use_fish!A:A,[1]use_fish!D:D),0),_xlfn.IFNA(LOOKUP(U140,[1]use_fish!A:A,[1]use_fish!D:D),0),_xlfn.IFNA(LOOKUP(V140,[1]use_fish!A:A,[1]use_fish!D:D),0),_xlfn.IFNA(LOOKUP(W140,[1]use_fish!A:A,[1]use_fish!D:D),0),)</f>
        <v>70</v>
      </c>
      <c r="Q140">
        <v>112</v>
      </c>
    </row>
    <row r="141" spans="1:20">
      <c r="A141">
        <v>140</v>
      </c>
      <c r="B141">
        <v>1</v>
      </c>
      <c r="C141" t="s">
        <v>239</v>
      </c>
      <c r="H141">
        <f>SUM(_xlfn.IFNA(LOOKUP(Q141,[1]use_fish!A:A,[1]use_fish!D:D),0),_xlfn.IFNA(LOOKUP(R141,[1]use_fish!A:A,[1]use_fish!D:D),0),_xlfn.IFNA(LOOKUP(S141,[1]use_fish!A:A,[1]use_fish!D:D),0),_xlfn.IFNA(LOOKUP(T141,[1]use_fish!A:A,[1]use_fish!D:D),0),_xlfn.IFNA(LOOKUP(U141,[1]use_fish!A:A,[1]use_fish!D:D),0),_xlfn.IFNA(LOOKUP(V141,[1]use_fish!A:A,[1]use_fish!D:D),0),_xlfn.IFNA(LOOKUP(W141,[1]use_fish!A:A,[1]use_fish!D:D),0),)</f>
        <v>80</v>
      </c>
      <c r="Q141">
        <v>113</v>
      </c>
    </row>
    <row r="142" spans="1:20">
      <c r="A142">
        <v>141</v>
      </c>
      <c r="B142">
        <v>1</v>
      </c>
      <c r="C142" t="s">
        <v>240</v>
      </c>
      <c r="H142">
        <f>SUM(_xlfn.IFNA(LOOKUP(Q142,[1]use_fish!A:A,[1]use_fish!D:D),0),_xlfn.IFNA(LOOKUP(R142,[1]use_fish!A:A,[1]use_fish!D:D),0),_xlfn.IFNA(LOOKUP(S142,[1]use_fish!A:A,[1]use_fish!D:D),0),_xlfn.IFNA(LOOKUP(T142,[1]use_fish!A:A,[1]use_fish!D:D),0),_xlfn.IFNA(LOOKUP(U142,[1]use_fish!A:A,[1]use_fish!D:D),0),_xlfn.IFNA(LOOKUP(V142,[1]use_fish!A:A,[1]use_fish!D:D),0),_xlfn.IFNA(LOOKUP(W142,[1]use_fish!A:A,[1]use_fish!D:D),0),)</f>
        <v>110</v>
      </c>
      <c r="Q142">
        <v>114</v>
      </c>
    </row>
    <row r="143" spans="1:20">
      <c r="A143">
        <v>142</v>
      </c>
      <c r="B143">
        <v>1</v>
      </c>
      <c r="C143" t="s">
        <v>241</v>
      </c>
      <c r="H143">
        <f>SUM(_xlfn.IFNA(LOOKUP(Q143,[1]use_fish!A:A,[1]use_fish!D:D),0),_xlfn.IFNA(LOOKUP(R143,[1]use_fish!A:A,[1]use_fish!D:D),0),_xlfn.IFNA(LOOKUP(S143,[1]use_fish!A:A,[1]use_fish!D:D),0),_xlfn.IFNA(LOOKUP(T143,[1]use_fish!A:A,[1]use_fish!D:D),0),_xlfn.IFNA(LOOKUP(U143,[1]use_fish!A:A,[1]use_fish!D:D),0),_xlfn.IFNA(LOOKUP(V143,[1]use_fish!A:A,[1]use_fish!D:D),0),_xlfn.IFNA(LOOKUP(W143,[1]use_fish!A:A,[1]use_fish!D:D),0),)</f>
        <v>90</v>
      </c>
      <c r="Q143">
        <v>115</v>
      </c>
    </row>
    <row r="144" spans="1:20">
      <c r="A144">
        <v>143</v>
      </c>
      <c r="B144">
        <v>1</v>
      </c>
      <c r="C144" t="s">
        <v>242</v>
      </c>
      <c r="H144">
        <f>SUM(_xlfn.IFNA(LOOKUP(Q144,[1]use_fish!A:A,[1]use_fish!D:D),0),_xlfn.IFNA(LOOKUP(R144,[1]use_fish!A:A,[1]use_fish!D:D),0),_xlfn.IFNA(LOOKUP(S144,[1]use_fish!A:A,[1]use_fish!D:D),0),_xlfn.IFNA(LOOKUP(T144,[1]use_fish!A:A,[1]use_fish!D:D),0),_xlfn.IFNA(LOOKUP(U144,[1]use_fish!A:A,[1]use_fish!D:D),0),_xlfn.IFNA(LOOKUP(V144,[1]use_fish!A:A,[1]use_fish!D:D),0),_xlfn.IFNA(LOOKUP(W144,[1]use_fish!A:A,[1]use_fish!D:D),0),)</f>
        <v>110</v>
      </c>
      <c r="Q144">
        <v>116</v>
      </c>
    </row>
    <row r="145" spans="1:17">
      <c r="A145">
        <v>144</v>
      </c>
      <c r="B145">
        <v>1</v>
      </c>
      <c r="C145" t="s">
        <v>243</v>
      </c>
      <c r="H145">
        <f>SUM(_xlfn.IFNA(LOOKUP(Q145,[1]use_fish!A:A,[1]use_fish!D:D),0),_xlfn.IFNA(LOOKUP(R145,[1]use_fish!A:A,[1]use_fish!D:D),0),_xlfn.IFNA(LOOKUP(S145,[1]use_fish!A:A,[1]use_fish!D:D),0),_xlfn.IFNA(LOOKUP(T145,[1]use_fish!A:A,[1]use_fish!D:D),0),_xlfn.IFNA(LOOKUP(U145,[1]use_fish!A:A,[1]use_fish!D:D),0),_xlfn.IFNA(LOOKUP(V145,[1]use_fish!A:A,[1]use_fish!D:D),0),_xlfn.IFNA(LOOKUP(W145,[1]use_fish!A:A,[1]use_fish!D:D),0),)</f>
        <v>130</v>
      </c>
      <c r="Q145">
        <v>117</v>
      </c>
    </row>
    <row r="146" spans="1:17">
      <c r="A146">
        <v>145</v>
      </c>
      <c r="B146">
        <v>1</v>
      </c>
      <c r="C146" t="s">
        <v>251</v>
      </c>
      <c r="H146">
        <v>540</v>
      </c>
      <c r="I146" t="s">
        <v>285</v>
      </c>
      <c r="J146" t="s">
        <v>286</v>
      </c>
    </row>
    <row r="147" spans="1:17">
      <c r="A147">
        <v>146</v>
      </c>
      <c r="B147">
        <v>1</v>
      </c>
      <c r="C147" t="s">
        <v>252</v>
      </c>
      <c r="H147">
        <v>540</v>
      </c>
      <c r="I147" t="s">
        <v>64</v>
      </c>
      <c r="J147" t="s">
        <v>46</v>
      </c>
    </row>
    <row r="148" spans="1:17">
      <c r="A148">
        <v>147</v>
      </c>
      <c r="B148">
        <v>1</v>
      </c>
      <c r="C148" t="s">
        <v>253</v>
      </c>
      <c r="H148">
        <v>540</v>
      </c>
      <c r="I148" t="s">
        <v>281</v>
      </c>
      <c r="J148" t="s">
        <v>287</v>
      </c>
    </row>
    <row r="149" spans="1:17">
      <c r="A149">
        <v>148</v>
      </c>
      <c r="B149">
        <v>1</v>
      </c>
      <c r="C149" t="s">
        <v>297</v>
      </c>
      <c r="H149">
        <f>SUM(_xlfn.IFNA(LOOKUP(Q149,[2]use_fish!A:A,[2]use_fish!D:D),0),_xlfn.IFNA(LOOKUP(R149,[2]use_fish!A:A,[2]use_fish!D:D),0),_xlfn.IFNA(LOOKUP(S149,[2]use_fish!A:A,[2]use_fish!D:D),0),_xlfn.IFNA(LOOKUP(T149,[2]use_fish!A:A,[2]use_fish!D:D),0),_xlfn.IFNA(LOOKUP(U149,[2]use_fish!A:A,[2]use_fish!D:D),0),_xlfn.IFNA(LOOKUP(V149,[2]use_fish!A:A,[2]use_fish!D:D),0),_xlfn.IFNA(LOOKUP(W149,[2]use_fish!A:A,[2]use_fish!D:D),0),)</f>
        <v>500</v>
      </c>
      <c r="Q149">
        <v>121</v>
      </c>
    </row>
  </sheetData>
  <autoFilter ref="H1:H129" xr:uid="{00000000-0009-0000-0000-000004000000}"/>
  <dataConsolidate/>
  <phoneticPr fontId="1" type="noConversion"/>
  <conditionalFormatting sqref="H150:H1048576 H1:H12 H19:H129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18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3:H145">
    <cfRule type="iconSet" priority="1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0:H132">
    <cfRule type="iconSet" priority="1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L146:L148">
    <cfRule type="iconSet" priority="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K146:K148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:J12 I19:J129 I131:J148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3:J18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46:H148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49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49:J149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400-000000000000}">
          <x14:formula1>
            <xm:f>base_fish!$E$2:$E$19</xm:f>
          </x14:formula1>
          <xm:sqref>K2</xm:sqref>
        </x14:dataValidation>
        <x14:dataValidation type="list" showInputMessage="1" showErrorMessage="1" xr:uid="{00000000-0002-0000-0400-000001000000}">
          <x14:formula1>
            <xm:f>activity!$H$2:$H$10</xm:f>
          </x14:formula1>
          <xm:sqref>K3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G122"/>
  <sheetViews>
    <sheetView workbookViewId="0">
      <pane ySplit="1" topLeftCell="A2" activePane="bottomLeft" state="frozen"/>
      <selection pane="bottomLeft" activeCell="D121" sqref="D121"/>
    </sheetView>
  </sheetViews>
  <sheetFormatPr baseColWidth="10" defaultColWidth="8.83203125" defaultRowHeight="15"/>
  <cols>
    <col min="1" max="1" width="14.1640625" customWidth="1"/>
    <col min="2" max="3" width="11.33203125" customWidth="1"/>
    <col min="4" max="4" width="14.1640625" customWidth="1"/>
    <col min="5" max="6" width="15" customWidth="1"/>
    <col min="7" max="7" width="23.6640625" customWidth="1"/>
  </cols>
  <sheetData>
    <row r="1" spans="1:7" ht="30">
      <c r="A1" s="1" t="s">
        <v>276</v>
      </c>
      <c r="B1" s="1" t="s">
        <v>277</v>
      </c>
      <c r="C1" s="1" t="s">
        <v>278</v>
      </c>
      <c r="D1" s="1" t="s">
        <v>0</v>
      </c>
      <c r="E1" s="1" t="s">
        <v>279</v>
      </c>
      <c r="F1" s="1" t="s">
        <v>280</v>
      </c>
      <c r="G1" s="1" t="s">
        <v>23</v>
      </c>
    </row>
    <row r="2" spans="1:7">
      <c r="A2" s="3">
        <v>1</v>
      </c>
      <c r="B2" s="3">
        <v>1</v>
      </c>
      <c r="C2" s="3"/>
      <c r="D2" s="2">
        <f>LOOKUP([1]use_fish!B2,[1]base_fish!A:A,[1]base_fish!C:C)+_xlfn.IFNA(INDEX([1]activity!E:E,MATCH([1]use_fish!C2,[1]activity!A:A,0)),0)</f>
        <v>1</v>
      </c>
      <c r="E2" s="2">
        <f>1/D2</f>
        <v>1</v>
      </c>
      <c r="F2" s="2" t="s">
        <v>26</v>
      </c>
      <c r="G2" s="5" t="str">
        <f>INDEX([1]base_fish!E:E,MATCH([1]use_fish!B2,[1]base_fish!A:A,0))&amp;_xlfn.IFNA("+"&amp;INDEX([1]activity!F:F,MATCH([1]use_fish!C2,[1]activity!A:A,0)),"")</f>
        <v>小黄鱼</v>
      </c>
    </row>
    <row r="3" spans="1:7">
      <c r="A3" s="3">
        <v>2</v>
      </c>
      <c r="B3" s="3">
        <v>2</v>
      </c>
      <c r="C3" s="3"/>
      <c r="D3" s="2">
        <f>LOOKUP([1]use_fish!B3,[1]base_fish!A:A,[1]base_fish!C:C)+_xlfn.IFNA(INDEX([1]activity!E:E,MATCH([1]use_fish!C3,[1]activity!A:A,0)),0)</f>
        <v>2</v>
      </c>
      <c r="E3" s="2">
        <f>1/D3</f>
        <v>0.5</v>
      </c>
      <c r="F3" s="2" t="s">
        <v>26</v>
      </c>
      <c r="G3" s="5" t="str">
        <f>INDEX([1]base_fish!E:E,MATCH([1]use_fish!B3,[1]base_fish!A:A,0))&amp;_xlfn.IFNA("+"&amp;INDEX([1]activity!F:F,MATCH([1]use_fish!C3,[1]activity!A:A,0)),"")</f>
        <v>小蓝鱼</v>
      </c>
    </row>
    <row r="4" spans="1:7">
      <c r="A4" s="3">
        <v>3</v>
      </c>
      <c r="B4" s="3">
        <v>3</v>
      </c>
      <c r="C4" s="3"/>
      <c r="D4" s="2">
        <f>LOOKUP([1]use_fish!B4,[1]base_fish!A:A,[1]base_fish!C:C)+_xlfn.IFNA(INDEX([1]activity!E:E,MATCH([1]use_fish!C4,[1]activity!A:A,0)),0)</f>
        <v>5</v>
      </c>
      <c r="E4" s="2">
        <f t="shared" ref="E4:E42" si="0">1/D4</f>
        <v>0.2</v>
      </c>
      <c r="F4" s="2" t="s">
        <v>26</v>
      </c>
      <c r="G4" s="5" t="str">
        <f>INDEX([1]base_fish!E:E,MATCH([1]use_fish!B4,[1]base_fish!A:A,0))&amp;_xlfn.IFNA("+"&amp;INDEX([1]activity!F:F,MATCH([1]use_fish!C4,[1]activity!A:A,0)),"")</f>
        <v>彩纹鱼</v>
      </c>
    </row>
    <row r="5" spans="1:7">
      <c r="A5" s="3">
        <v>4</v>
      </c>
      <c r="B5" s="3">
        <v>4</v>
      </c>
      <c r="C5" s="3"/>
      <c r="D5" s="2">
        <f>LOOKUP([1]use_fish!B5,[1]base_fish!A:A,[1]base_fish!C:C)+_xlfn.IFNA(INDEX([1]activity!E:E,MATCH([1]use_fish!C5,[1]activity!A:A,0)),0)</f>
        <v>8</v>
      </c>
      <c r="E5" s="2">
        <f t="shared" si="0"/>
        <v>0.125</v>
      </c>
      <c r="F5" s="2" t="s">
        <v>26</v>
      </c>
      <c r="G5" s="5" t="str">
        <f>INDEX([1]base_fish!E:E,MATCH([1]use_fish!B5,[1]base_fish!A:A,0))&amp;_xlfn.IFNA("+"&amp;INDEX([1]activity!F:F,MATCH([1]use_fish!C5,[1]activity!A:A,0)),"")</f>
        <v>蓝河豚</v>
      </c>
    </row>
    <row r="6" spans="1:7">
      <c r="A6" s="3">
        <v>5</v>
      </c>
      <c r="B6" s="3">
        <v>5</v>
      </c>
      <c r="C6" s="3"/>
      <c r="D6" s="2">
        <f>LOOKUP([1]use_fish!B6,[1]base_fish!A:A,[1]base_fish!C:C)+_xlfn.IFNA(INDEX([1]activity!E:E,MATCH([1]use_fish!C6,[1]activity!A:A,0)),0)</f>
        <v>15</v>
      </c>
      <c r="E6" s="2">
        <f t="shared" si="0"/>
        <v>6.6666666666666666E-2</v>
      </c>
      <c r="F6" s="2" t="s">
        <v>26</v>
      </c>
      <c r="G6" s="5" t="str">
        <f>INDEX([1]base_fish!E:E,MATCH([1]use_fish!B6,[1]base_fish!A:A,0))&amp;_xlfn.IFNA("+"&amp;INDEX([1]activity!F:F,MATCH([1]use_fish!C6,[1]activity!A:A,0)),"")</f>
        <v>小丑鱼</v>
      </c>
    </row>
    <row r="7" spans="1:7">
      <c r="A7" s="3">
        <v>6</v>
      </c>
      <c r="B7" s="3">
        <v>6</v>
      </c>
      <c r="C7" s="3"/>
      <c r="D7" s="2">
        <f>LOOKUP([1]use_fish!B7,[1]base_fish!A:A,[1]base_fish!C:C)+_xlfn.IFNA(INDEX([1]activity!E:E,MATCH([1]use_fish!C7,[1]activity!A:A,0)),0)</f>
        <v>20</v>
      </c>
      <c r="E7" s="2">
        <f t="shared" si="0"/>
        <v>0.05</v>
      </c>
      <c r="F7" s="2" t="s">
        <v>26</v>
      </c>
      <c r="G7" s="5" t="str">
        <f>INDEX([1]base_fish!E:E,MATCH([1]use_fish!B7,[1]base_fish!A:A,0))&amp;_xlfn.IFNA("+"&amp;INDEX([1]activity!F:F,MATCH([1]use_fish!C7,[1]activity!A:A,0)),"")</f>
        <v>蓝灯鱼</v>
      </c>
    </row>
    <row r="8" spans="1:7">
      <c r="A8" s="3">
        <v>7</v>
      </c>
      <c r="B8" s="3">
        <v>7</v>
      </c>
      <c r="C8" s="3"/>
      <c r="D8" s="2">
        <f>LOOKUP([1]use_fish!B8,[1]base_fish!A:A,[1]base_fish!C:C)+_xlfn.IFNA(INDEX([1]activity!E:E,MATCH([1]use_fish!C8,[1]activity!A:A,0)),0)</f>
        <v>30</v>
      </c>
      <c r="E8" s="2">
        <f t="shared" si="0"/>
        <v>3.3333333333333333E-2</v>
      </c>
      <c r="F8" s="2" t="s">
        <v>26</v>
      </c>
      <c r="G8" s="5" t="str">
        <f>INDEX([1]base_fish!E:E,MATCH([1]use_fish!B8,[1]base_fish!A:A,0))&amp;_xlfn.IFNA("+"&amp;INDEX([1]activity!F:F,MATCH([1]use_fish!C8,[1]activity!A:A,0)),"")</f>
        <v>红杉鱼</v>
      </c>
    </row>
    <row r="9" spans="1:7">
      <c r="A9" s="3">
        <v>8</v>
      </c>
      <c r="B9" s="3">
        <v>8</v>
      </c>
      <c r="C9" s="3"/>
      <c r="D9" s="2">
        <f>LOOKUP([1]use_fish!B9,[1]base_fish!A:A,[1]base_fish!C:C)+_xlfn.IFNA(INDEX([1]activity!E:E,MATCH([1]use_fish!C9,[1]activity!A:A,0)),0)</f>
        <v>40</v>
      </c>
      <c r="E9" s="2">
        <f t="shared" si="0"/>
        <v>2.5000000000000001E-2</v>
      </c>
      <c r="F9" s="2" t="s">
        <v>26</v>
      </c>
      <c r="G9" s="5" t="str">
        <f>INDEX([1]base_fish!E:E,MATCH([1]use_fish!B9,[1]base_fish!A:A,0))&amp;_xlfn.IFNA("+"&amp;INDEX([1]activity!F:F,MATCH([1]use_fish!C9,[1]activity!A:A,0)),"")</f>
        <v>海龟</v>
      </c>
    </row>
    <row r="10" spans="1:7">
      <c r="A10" s="3">
        <v>9</v>
      </c>
      <c r="B10" s="3">
        <v>9</v>
      </c>
      <c r="C10" s="3"/>
      <c r="D10" s="2">
        <f>LOOKUP([1]use_fish!B10,[1]base_fish!A:A,[1]base_fish!C:C)+_xlfn.IFNA(INDEX([1]activity!E:E,MATCH([1]use_fish!C10,[1]activity!A:A,0)),0)</f>
        <v>50</v>
      </c>
      <c r="E10" s="2">
        <f t="shared" si="0"/>
        <v>0.02</v>
      </c>
      <c r="F10" s="2" t="s">
        <v>26</v>
      </c>
      <c r="G10" s="5" t="str">
        <f>INDEX([1]base_fish!E:E,MATCH([1]use_fish!B10,[1]base_fish!A:A,0))&amp;_xlfn.IFNA("+"&amp;INDEX([1]activity!F:F,MATCH([1]use_fish!C10,[1]activity!A:A,0)),"")</f>
        <v>灯笼鱼</v>
      </c>
    </row>
    <row r="11" spans="1:7">
      <c r="A11" s="3">
        <v>10</v>
      </c>
      <c r="B11" s="3">
        <v>10</v>
      </c>
      <c r="C11" s="3"/>
      <c r="D11" s="2">
        <f>LOOKUP([1]use_fish!B11,[1]base_fish!A:A,[1]base_fish!C:C)+_xlfn.IFNA(INDEX([1]activity!E:E,MATCH([1]use_fish!C11,[1]activity!A:A,0)),0)</f>
        <v>60</v>
      </c>
      <c r="E11" s="2">
        <f t="shared" si="0"/>
        <v>1.6666666666666666E-2</v>
      </c>
      <c r="F11" s="2" t="s">
        <v>26</v>
      </c>
      <c r="G11" s="5" t="str">
        <f>INDEX([1]base_fish!E:E,MATCH([1]use_fish!B11,[1]base_fish!A:A,0))&amp;_xlfn.IFNA("+"&amp;INDEX([1]activity!F:F,MATCH([1]use_fish!C11,[1]activity!A:A,0)),"")</f>
        <v>魔鬼鱼</v>
      </c>
    </row>
    <row r="12" spans="1:7">
      <c r="A12" s="3">
        <v>11</v>
      </c>
      <c r="B12" s="3">
        <v>11</v>
      </c>
      <c r="C12" s="3"/>
      <c r="D12" s="2">
        <f>LOOKUP([1]use_fish!B12,[1]base_fish!A:A,[1]base_fish!C:C)+_xlfn.IFNA(INDEX([1]activity!E:E,MATCH([1]use_fish!C12,[1]activity!A:A,0)),0)</f>
        <v>70</v>
      </c>
      <c r="E12" s="2">
        <f t="shared" si="0"/>
        <v>1.4285714285714285E-2</v>
      </c>
      <c r="F12" s="2" t="s">
        <v>26</v>
      </c>
      <c r="G12" s="5" t="str">
        <f>INDEX([1]base_fish!E:E,MATCH([1]use_fish!B12,[1]base_fish!A:A,0))&amp;_xlfn.IFNA("+"&amp;INDEX([1]activity!F:F,MATCH([1]use_fish!C12,[1]activity!A:A,0)),"")</f>
        <v>大白鲨</v>
      </c>
    </row>
    <row r="13" spans="1:7">
      <c r="A13" s="3">
        <v>12</v>
      </c>
      <c r="B13" s="3">
        <v>12</v>
      </c>
      <c r="C13" s="3"/>
      <c r="D13" s="2">
        <f>LOOKUP([1]use_fish!B13,[1]base_fish!A:A,[1]base_fish!C:C)+_xlfn.IFNA(INDEX([1]activity!E:E,MATCH([1]use_fish!C13,[1]activity!A:A,0)),0)</f>
        <v>100</v>
      </c>
      <c r="E13" s="2">
        <f t="shared" si="0"/>
        <v>0.01</v>
      </c>
      <c r="F13" s="2" t="s">
        <v>26</v>
      </c>
      <c r="G13" s="5" t="str">
        <f>INDEX([1]base_fish!E:E,MATCH([1]use_fish!B13,[1]base_fish!A:A,0))&amp;_xlfn.IFNA("+"&amp;INDEX([1]activity!F:F,MATCH([1]use_fish!C13,[1]activity!A:A,0)),"")</f>
        <v>锤头鲨</v>
      </c>
    </row>
    <row r="14" spans="1:7">
      <c r="A14" s="3">
        <v>13</v>
      </c>
      <c r="B14" s="3">
        <v>13</v>
      </c>
      <c r="C14" s="3"/>
      <c r="D14" s="2">
        <f>LOOKUP([1]use_fish!B14,[1]base_fish!A:A,[1]base_fish!C:C)+_xlfn.IFNA(INDEX([1]activity!E:E,MATCH([1]use_fish!C14,[1]activity!A:A,0)),0)</f>
        <v>150</v>
      </c>
      <c r="E14" s="2">
        <f t="shared" si="0"/>
        <v>6.6666666666666671E-3</v>
      </c>
      <c r="F14" s="2" t="s">
        <v>26</v>
      </c>
      <c r="G14" s="5" t="str">
        <f>INDEX([1]base_fish!E:E,MATCH([1]use_fish!B14,[1]base_fish!A:A,0))&amp;_xlfn.IFNA("+"&amp;INDEX([1]activity!F:F,MATCH([1]use_fish!C14,[1]activity!A:A,0)),"")</f>
        <v>虎鲸</v>
      </c>
    </row>
    <row r="15" spans="1:7">
      <c r="A15" s="3">
        <v>14</v>
      </c>
      <c r="B15" s="3">
        <v>14</v>
      </c>
      <c r="C15" s="3"/>
      <c r="D15" s="2">
        <f>LOOKUP([1]use_fish!B15,[1]base_fish!A:A,[1]base_fish!C:C)+_xlfn.IFNA(INDEX([1]activity!E:E,MATCH([1]use_fish!C15,[1]activity!A:A,0)),0)</f>
        <v>80</v>
      </c>
      <c r="E15" s="2">
        <f t="shared" si="0"/>
        <v>1.2500000000000001E-2</v>
      </c>
      <c r="F15" s="2" t="s">
        <v>26</v>
      </c>
      <c r="G15" s="5" t="str">
        <f>INDEX([1]base_fish!E:E,MATCH([1]use_fish!B15,[1]base_fish!A:A,0))&amp;_xlfn.IFNA("+"&amp;INDEX([1]activity!F:F,MATCH([1]use_fish!C15,[1]activity!A:A,0)),"")</f>
        <v>黄金海龟</v>
      </c>
    </row>
    <row r="16" spans="1:7">
      <c r="A16" s="3">
        <v>15</v>
      </c>
      <c r="B16" s="3">
        <v>15</v>
      </c>
      <c r="C16" s="3"/>
      <c r="D16" s="2">
        <f>LOOKUP([1]use_fish!B16,[1]base_fish!A:A,[1]base_fish!C:C)+_xlfn.IFNA(INDEX([1]activity!E:E,MATCH([1]use_fish!C16,[1]activity!A:A,0)),0)</f>
        <v>100</v>
      </c>
      <c r="E16" s="2">
        <f t="shared" si="0"/>
        <v>0.01</v>
      </c>
      <c r="F16" s="2" t="s">
        <v>26</v>
      </c>
      <c r="G16" s="5" t="str">
        <f>INDEX([1]base_fish!E:E,MATCH([1]use_fish!B16,[1]base_fish!A:A,0))&amp;_xlfn.IFNA("+"&amp;INDEX([1]activity!F:F,MATCH([1]use_fish!C16,[1]activity!A:A,0)),"")</f>
        <v>黄金灯笼鱼</v>
      </c>
    </row>
    <row r="17" spans="1:7">
      <c r="A17" s="3">
        <v>16</v>
      </c>
      <c r="B17" s="3">
        <v>16</v>
      </c>
      <c r="C17" s="3"/>
      <c r="D17" s="2">
        <f>LOOKUP([1]use_fish!B17,[1]base_fish!A:A,[1]base_fish!C:C)+_xlfn.IFNA(INDEX([1]activity!E:E,MATCH([1]use_fish!C17,[1]activity!A:A,0)),0)</f>
        <v>120</v>
      </c>
      <c r="E17" s="2">
        <f t="shared" si="0"/>
        <v>8.3333333333333332E-3</v>
      </c>
      <c r="F17" s="2" t="s">
        <v>26</v>
      </c>
      <c r="G17" s="5" t="str">
        <f>INDEX([1]base_fish!E:E,MATCH([1]use_fish!B17,[1]base_fish!A:A,0))&amp;_xlfn.IFNA("+"&amp;INDEX([1]activity!F:F,MATCH([1]use_fish!C17,[1]activity!A:A,0)),"")</f>
        <v>黄金魔鬼鱼</v>
      </c>
    </row>
    <row r="18" spans="1:7">
      <c r="A18" s="3">
        <v>17</v>
      </c>
      <c r="B18" s="3">
        <v>17</v>
      </c>
      <c r="C18" s="3"/>
      <c r="D18" s="2">
        <f>LOOKUP([1]use_fish!B18,[1]base_fish!A:A,[1]base_fish!C:C)+_xlfn.IFNA(INDEX([1]activity!E:E,MATCH([1]use_fish!C18,[1]activity!A:A,0)),0)</f>
        <v>140</v>
      </c>
      <c r="E18" s="2">
        <f t="shared" si="0"/>
        <v>7.1428571428571426E-3</v>
      </c>
      <c r="F18" s="2" t="s">
        <v>26</v>
      </c>
      <c r="G18" s="5" t="str">
        <f>INDEX([1]base_fish!E:E,MATCH([1]use_fish!B18,[1]base_fish!A:A,0))&amp;_xlfn.IFNA("+"&amp;INDEX([1]activity!F:F,MATCH([1]use_fish!C18,[1]activity!A:A,0)),"")</f>
        <v>黄金大白鲨</v>
      </c>
    </row>
    <row r="19" spans="1:7">
      <c r="A19" s="3">
        <v>18</v>
      </c>
      <c r="B19" s="3">
        <v>18</v>
      </c>
      <c r="C19" s="3"/>
      <c r="D19" s="2">
        <f>LOOKUP([1]use_fish!B19,[1]base_fish!A:A,[1]base_fish!C:C)+_xlfn.IFNA(INDEX([1]activity!E:E,MATCH([1]use_fish!C19,[1]activity!A:A,0)),0)</f>
        <v>200</v>
      </c>
      <c r="E19" s="2">
        <f t="shared" si="0"/>
        <v>5.0000000000000001E-3</v>
      </c>
      <c r="F19" s="2" t="s">
        <v>26</v>
      </c>
      <c r="G19" s="5" t="str">
        <f>INDEX([1]base_fish!E:E,MATCH([1]use_fish!B19,[1]base_fish!A:A,0))&amp;_xlfn.IFNA("+"&amp;INDEX([1]activity!F:F,MATCH([1]use_fish!C19,[1]activity!A:A,0)),"")</f>
        <v>黄金锤头鲨</v>
      </c>
    </row>
    <row r="20" spans="1:7">
      <c r="A20" s="3">
        <v>19</v>
      </c>
      <c r="B20" s="3">
        <v>6</v>
      </c>
      <c r="C20" s="3">
        <v>2</v>
      </c>
      <c r="D20" s="2">
        <f>LOOKUP([1]use_fish!B20,[1]base_fish!A:A,[1]base_fish!C:C)+_xlfn.IFNA(INDEX([1]activity!E:E,MATCH([1]use_fish!C20,[1]activity!A:A,0)),0)</f>
        <v>83</v>
      </c>
      <c r="E20" s="2">
        <f t="shared" si="0"/>
        <v>1.2048192771084338E-2</v>
      </c>
      <c r="F20" s="2" t="s">
        <v>26</v>
      </c>
      <c r="G20" s="5" t="str">
        <f>INDEX([1]base_fish!E:E,MATCH([1]use_fish!B20,[1]base_fish!A:A,0))&amp;_xlfn.IFNA("+"&amp;INDEX([1]activity!F:F,MATCH([1]use_fish!C20,[1]activity!A:A,0)),"")</f>
        <v>蓝灯鱼+威力提升</v>
      </c>
    </row>
    <row r="21" spans="1:7">
      <c r="A21" s="3">
        <v>20</v>
      </c>
      <c r="B21" s="3">
        <v>6</v>
      </c>
      <c r="C21" s="3">
        <v>3</v>
      </c>
      <c r="D21" s="2">
        <f>LOOKUP([1]use_fish!B21,[1]base_fish!A:A,[1]base_fish!C:C)+_xlfn.IFNA(INDEX([1]activity!E:E,MATCH([1]use_fish!C21,[1]activity!A:A,0)),0)</f>
        <v>83</v>
      </c>
      <c r="E21" s="2">
        <f t="shared" si="0"/>
        <v>1.2048192771084338E-2</v>
      </c>
      <c r="F21" s="2" t="s">
        <v>26</v>
      </c>
      <c r="G21" s="5" t="str">
        <f>INDEX([1]base_fish!E:E,MATCH([1]use_fish!B21,[1]base_fish!A:A,0))&amp;_xlfn.IFNA("+"&amp;INDEX([1]activity!F:F,MATCH([1]use_fish!C21,[1]activity!A:A,0)),"")</f>
        <v>蓝灯鱼+暴击时刻</v>
      </c>
    </row>
    <row r="22" spans="1:7">
      <c r="A22" s="3">
        <v>21</v>
      </c>
      <c r="B22" s="3">
        <v>6</v>
      </c>
      <c r="C22" s="3">
        <v>5</v>
      </c>
      <c r="D22" s="2">
        <f>LOOKUP([1]use_fish!B22,[1]base_fish!A:A,[1]base_fish!C:C)+_xlfn.IFNA(INDEX([1]activity!E:E,MATCH([1]use_fish!C22,[1]activity!A:A,0)),0)</f>
        <v>70</v>
      </c>
      <c r="E22" s="2">
        <f t="shared" si="0"/>
        <v>1.4285714285714285E-2</v>
      </c>
      <c r="F22" s="2" t="s">
        <v>26</v>
      </c>
      <c r="G22" s="5" t="str">
        <f>INDEX([1]base_fish!E:E,MATCH([1]use_fish!B22,[1]base_fish!A:A,0))&amp;_xlfn.IFNA("+"&amp;INDEX([1]activity!F:F,MATCH([1]use_fish!C22,[1]activity!A:A,0)),"")</f>
        <v>蓝灯鱼+闪电</v>
      </c>
    </row>
    <row r="23" spans="1:7">
      <c r="A23" s="3">
        <v>22</v>
      </c>
      <c r="B23" s="3">
        <v>6</v>
      </c>
      <c r="C23" s="3">
        <v>7</v>
      </c>
      <c r="D23" s="2">
        <f>LOOKUP([1]use_fish!B23,[1]base_fish!A:A,[1]base_fish!C:C)+_xlfn.IFNA(INDEX([1]activity!E:E,MATCH([1]use_fish!C23,[1]activity!A:A,0)),0)</f>
        <v>70</v>
      </c>
      <c r="E23" s="2">
        <f t="shared" si="0"/>
        <v>1.4285714285714285E-2</v>
      </c>
      <c r="F23" s="2" t="s">
        <v>26</v>
      </c>
      <c r="G23" s="5" t="str">
        <f>INDEX([1]base_fish!E:E,MATCH([1]use_fish!B23,[1]base_fish!A:A,0))&amp;_xlfn.IFNA("+"&amp;INDEX([1]activity!F:F,MATCH([1]use_fish!C23,[1]activity!A:A,0)),"")</f>
        <v>蓝灯鱼+免费子弹</v>
      </c>
    </row>
    <row r="24" spans="1:7">
      <c r="A24" s="3">
        <v>23</v>
      </c>
      <c r="B24" s="3">
        <v>6</v>
      </c>
      <c r="C24" s="3">
        <v>10</v>
      </c>
      <c r="D24" s="2">
        <f>LOOKUP([1]use_fish!B24,[1]base_fish!A:A,[1]base_fish!C:C)+_xlfn.IFNA(INDEX([1]activity!E:E,MATCH([1]use_fish!C24,[1]activity!A:A,0)),0)</f>
        <v>70</v>
      </c>
      <c r="E24" s="2">
        <f t="shared" si="0"/>
        <v>1.4285714285714285E-2</v>
      </c>
      <c r="F24" s="2" t="s">
        <v>26</v>
      </c>
      <c r="G24" s="5" t="str">
        <f>INDEX([1]base_fish!E:E,MATCH([1]use_fish!B24,[1]base_fish!A:A,0))&amp;_xlfn.IFNA("+"&amp;INDEX([1]activity!F:F,MATCH([1]use_fish!C24,[1]activity!A:A,0)),"")</f>
        <v>蓝灯鱼+闪电</v>
      </c>
    </row>
    <row r="25" spans="1:7">
      <c r="A25" s="3">
        <v>24</v>
      </c>
      <c r="B25" s="3">
        <v>7</v>
      </c>
      <c r="C25" s="3">
        <v>2</v>
      </c>
      <c r="D25" s="2">
        <f>LOOKUP([1]use_fish!B25,[1]base_fish!A:A,[1]base_fish!C:C)+_xlfn.IFNA(INDEX([1]activity!E:E,MATCH([1]use_fish!C25,[1]activity!A:A,0)),0)</f>
        <v>93</v>
      </c>
      <c r="E25" s="2">
        <f t="shared" si="0"/>
        <v>1.0752688172043012E-2</v>
      </c>
      <c r="F25" s="2" t="s">
        <v>26</v>
      </c>
      <c r="G25" s="5" t="str">
        <f>INDEX([1]base_fish!E:E,MATCH([1]use_fish!B25,[1]base_fish!A:A,0))&amp;_xlfn.IFNA("+"&amp;INDEX([1]activity!F:F,MATCH([1]use_fish!C25,[1]activity!A:A,0)),"")</f>
        <v>红杉鱼+威力提升</v>
      </c>
    </row>
    <row r="26" spans="1:7">
      <c r="A26" s="3">
        <v>25</v>
      </c>
      <c r="B26" s="3">
        <v>7</v>
      </c>
      <c r="C26" s="3">
        <v>3</v>
      </c>
      <c r="D26" s="2">
        <f>LOOKUP([1]use_fish!B26,[1]base_fish!A:A,[1]base_fish!C:C)+_xlfn.IFNA(INDEX([1]activity!E:E,MATCH([1]use_fish!C26,[1]activity!A:A,0)),0)</f>
        <v>93</v>
      </c>
      <c r="E26" s="2">
        <f t="shared" si="0"/>
        <v>1.0752688172043012E-2</v>
      </c>
      <c r="F26" s="2" t="s">
        <v>26</v>
      </c>
      <c r="G26" s="5" t="str">
        <f>INDEX([1]base_fish!E:E,MATCH([1]use_fish!B26,[1]base_fish!A:A,0))&amp;_xlfn.IFNA("+"&amp;INDEX([1]activity!F:F,MATCH([1]use_fish!C26,[1]activity!A:A,0)),"")</f>
        <v>红杉鱼+暴击时刻</v>
      </c>
    </row>
    <row r="27" spans="1:7">
      <c r="A27" s="3">
        <v>26</v>
      </c>
      <c r="B27" s="3">
        <v>7</v>
      </c>
      <c r="C27" s="3">
        <v>5</v>
      </c>
      <c r="D27" s="2">
        <f>LOOKUP([1]use_fish!B27,[1]base_fish!A:A,[1]base_fish!C:C)+_xlfn.IFNA(INDEX([1]activity!E:E,MATCH([1]use_fish!C27,[1]activity!A:A,0)),0)</f>
        <v>80</v>
      </c>
      <c r="E27" s="2">
        <f t="shared" si="0"/>
        <v>1.2500000000000001E-2</v>
      </c>
      <c r="F27" s="2" t="s">
        <v>26</v>
      </c>
      <c r="G27" s="5" t="str">
        <f>INDEX([1]base_fish!E:E,MATCH([1]use_fish!B27,[1]base_fish!A:A,0))&amp;_xlfn.IFNA("+"&amp;INDEX([1]activity!F:F,MATCH([1]use_fish!C27,[1]activity!A:A,0)),"")</f>
        <v>红杉鱼+闪电</v>
      </c>
    </row>
    <row r="28" spans="1:7">
      <c r="A28" s="3">
        <v>27</v>
      </c>
      <c r="B28" s="3">
        <v>7</v>
      </c>
      <c r="C28" s="3">
        <v>7</v>
      </c>
      <c r="D28" s="2">
        <f>LOOKUP([1]use_fish!B28,[1]base_fish!A:A,[1]base_fish!C:C)+_xlfn.IFNA(INDEX([1]activity!E:E,MATCH([1]use_fish!C28,[1]activity!A:A,0)),0)</f>
        <v>80</v>
      </c>
      <c r="E28" s="2">
        <f t="shared" si="0"/>
        <v>1.2500000000000001E-2</v>
      </c>
      <c r="F28" s="2" t="s">
        <v>26</v>
      </c>
      <c r="G28" s="5" t="str">
        <f>INDEX([1]base_fish!E:E,MATCH([1]use_fish!B28,[1]base_fish!A:A,0))&amp;_xlfn.IFNA("+"&amp;INDEX([1]activity!F:F,MATCH([1]use_fish!C28,[1]activity!A:A,0)),"")</f>
        <v>红杉鱼+免费子弹</v>
      </c>
    </row>
    <row r="29" spans="1:7">
      <c r="A29" s="3">
        <v>28</v>
      </c>
      <c r="B29" s="3">
        <v>7</v>
      </c>
      <c r="C29" s="3">
        <v>17</v>
      </c>
      <c r="D29" s="2">
        <f>LOOKUP([1]use_fish!B29,[1]base_fish!A:A,[1]base_fish!C:C)+_xlfn.IFNA(INDEX([1]activity!E:E,MATCH([1]use_fish!C29,[1]activity!A:A,0)),0)</f>
        <v>80</v>
      </c>
      <c r="E29" s="2">
        <f t="shared" si="0"/>
        <v>1.2500000000000001E-2</v>
      </c>
      <c r="F29" s="2" t="s">
        <v>26</v>
      </c>
      <c r="G29" s="5" t="str">
        <f>INDEX([1]base_fish!E:E,MATCH([1]use_fish!B29,[1]base_fish!A:A,0))&amp;_xlfn.IFNA("+"&amp;INDEX([1]activity!F:F,MATCH([1]use_fish!C29,[1]activity!A:A,0)),"")</f>
        <v>红杉鱼+贝壳</v>
      </c>
    </row>
    <row r="30" spans="1:7">
      <c r="A30" s="3">
        <v>29</v>
      </c>
      <c r="B30" s="3">
        <v>8</v>
      </c>
      <c r="C30" s="3">
        <v>2</v>
      </c>
      <c r="D30" s="2">
        <f>LOOKUP([1]use_fish!B30,[1]base_fish!A:A,[1]base_fish!C:C)+_xlfn.IFNA(INDEX([1]activity!E:E,MATCH([1]use_fish!C30,[1]activity!A:A,0)),0)</f>
        <v>103</v>
      </c>
      <c r="E30" s="2">
        <f t="shared" si="0"/>
        <v>9.7087378640776691E-3</v>
      </c>
      <c r="F30" s="2" t="s">
        <v>26</v>
      </c>
      <c r="G30" s="5" t="str">
        <f>INDEX([1]base_fish!E:E,MATCH([1]use_fish!B30,[1]base_fish!A:A,0))&amp;_xlfn.IFNA("+"&amp;INDEX([1]activity!F:F,MATCH([1]use_fish!C30,[1]activity!A:A,0)),"")</f>
        <v>海龟+威力提升</v>
      </c>
    </row>
    <row r="31" spans="1:7">
      <c r="A31" s="3">
        <v>30</v>
      </c>
      <c r="B31" s="3">
        <v>8</v>
      </c>
      <c r="C31" s="3">
        <v>3</v>
      </c>
      <c r="D31" s="2">
        <f>LOOKUP([1]use_fish!B31,[1]base_fish!A:A,[1]base_fish!C:C)+_xlfn.IFNA(INDEX([1]activity!E:E,MATCH([1]use_fish!C31,[1]activity!A:A,0)),0)</f>
        <v>103</v>
      </c>
      <c r="E31" s="2">
        <f t="shared" si="0"/>
        <v>9.7087378640776691E-3</v>
      </c>
      <c r="F31" s="2" t="s">
        <v>26</v>
      </c>
      <c r="G31" s="5" t="str">
        <f>INDEX([1]base_fish!E:E,MATCH([1]use_fish!B31,[1]base_fish!A:A,0))&amp;_xlfn.IFNA("+"&amp;INDEX([1]activity!F:F,MATCH([1]use_fish!C31,[1]activity!A:A,0)),"")</f>
        <v>海龟+暴击时刻</v>
      </c>
    </row>
    <row r="32" spans="1:7">
      <c r="A32" s="3">
        <v>31</v>
      </c>
      <c r="B32" s="3">
        <v>8</v>
      </c>
      <c r="C32" s="3">
        <v>5</v>
      </c>
      <c r="D32" s="2">
        <f>LOOKUP([1]use_fish!B32,[1]base_fish!A:A,[1]base_fish!C:C)+_xlfn.IFNA(INDEX([1]activity!E:E,MATCH([1]use_fish!C32,[1]activity!A:A,0)),0)</f>
        <v>90</v>
      </c>
      <c r="E32" s="2">
        <f t="shared" si="0"/>
        <v>1.1111111111111112E-2</v>
      </c>
      <c r="F32" s="2" t="s">
        <v>26</v>
      </c>
      <c r="G32" s="5" t="str">
        <f>INDEX([1]base_fish!E:E,MATCH([1]use_fish!B32,[1]base_fish!A:A,0))&amp;_xlfn.IFNA("+"&amp;INDEX([1]activity!F:F,MATCH([1]use_fish!C32,[1]activity!A:A,0)),"")</f>
        <v>海龟+闪电</v>
      </c>
    </row>
    <row r="33" spans="1:7">
      <c r="A33" s="3">
        <v>32</v>
      </c>
      <c r="B33" s="3">
        <v>8</v>
      </c>
      <c r="C33" s="3">
        <v>7</v>
      </c>
      <c r="D33" s="2">
        <f>LOOKUP([1]use_fish!B33,[1]base_fish!A:A,[1]base_fish!C:C)+_xlfn.IFNA(INDEX([1]activity!E:E,MATCH([1]use_fish!C33,[1]activity!A:A,0)),0)</f>
        <v>90</v>
      </c>
      <c r="E33" s="2">
        <f t="shared" si="0"/>
        <v>1.1111111111111112E-2</v>
      </c>
      <c r="F33" s="2" t="s">
        <v>26</v>
      </c>
      <c r="G33" s="5" t="str">
        <f>INDEX([1]base_fish!E:E,MATCH([1]use_fish!B33,[1]base_fish!A:A,0))&amp;_xlfn.IFNA("+"&amp;INDEX([1]activity!F:F,MATCH([1]use_fish!C33,[1]activity!A:A,0)),"")</f>
        <v>海龟+免费子弹</v>
      </c>
    </row>
    <row r="34" spans="1:7">
      <c r="A34" s="3">
        <v>33</v>
      </c>
      <c r="B34" s="3">
        <v>8</v>
      </c>
      <c r="C34" s="3">
        <v>17</v>
      </c>
      <c r="D34" s="2">
        <f>LOOKUP([1]use_fish!B34,[1]base_fish!A:A,[1]base_fish!C:C)+_xlfn.IFNA(INDEX([1]activity!E:E,MATCH([1]use_fish!C34,[1]activity!A:A,0)),0)</f>
        <v>90</v>
      </c>
      <c r="E34" s="2">
        <f t="shared" si="0"/>
        <v>1.1111111111111112E-2</v>
      </c>
      <c r="F34" s="2" t="s">
        <v>26</v>
      </c>
      <c r="G34" s="5" t="str">
        <f>INDEX([1]base_fish!E:E,MATCH([1]use_fish!B34,[1]base_fish!A:A,0))&amp;_xlfn.IFNA("+"&amp;INDEX([1]activity!F:F,MATCH([1]use_fish!C34,[1]activity!A:A,0)),"")</f>
        <v>海龟+贝壳</v>
      </c>
    </row>
    <row r="35" spans="1:7">
      <c r="A35" s="3">
        <v>34</v>
      </c>
      <c r="B35" s="3">
        <v>8</v>
      </c>
      <c r="C35" s="3">
        <v>12</v>
      </c>
      <c r="D35" s="2">
        <f>LOOKUP([1]use_fish!B35,[1]base_fish!A:A,[1]base_fish!C:C)+_xlfn.IFNA(INDEX([1]activity!E:E,MATCH([1]use_fish!C35,[1]activity!A:A,0)),0)</f>
        <v>40</v>
      </c>
      <c r="E35" s="2">
        <f t="shared" si="0"/>
        <v>2.5000000000000001E-2</v>
      </c>
      <c r="F35" s="2" t="s">
        <v>26</v>
      </c>
      <c r="G35" s="5" t="str">
        <f>INDEX([1]base_fish!E:E,MATCH([1]use_fish!B35,[1]base_fish!A:A,0))&amp;_xlfn.IFNA("+"&amp;INDEX([1]activity!F:F,MATCH([1]use_fish!C35,[1]activity!A:A,0)),"")</f>
        <v>海龟+锁定卡</v>
      </c>
    </row>
    <row r="36" spans="1:7">
      <c r="A36" s="3">
        <v>35</v>
      </c>
      <c r="B36" s="3">
        <v>8</v>
      </c>
      <c r="C36" s="3">
        <v>14</v>
      </c>
      <c r="D36" s="2">
        <f>LOOKUP([1]use_fish!B36,[1]base_fish!A:A,[1]base_fish!C:C)+_xlfn.IFNA(INDEX([1]activity!E:E,MATCH([1]use_fish!C36,[1]activity!A:A,0)),0)</f>
        <v>40</v>
      </c>
      <c r="E36" s="2">
        <f t="shared" si="0"/>
        <v>2.5000000000000001E-2</v>
      </c>
      <c r="F36" s="2" t="s">
        <v>26</v>
      </c>
      <c r="G36" s="5" t="str">
        <f>INDEX([1]base_fish!E:E,MATCH([1]use_fish!B36,[1]base_fish!A:A,0))&amp;_xlfn.IFNA("+"&amp;INDEX([1]activity!F:F,MATCH([1]use_fish!C36,[1]activity!A:A,0)),"")</f>
        <v>海龟+冰冻卡</v>
      </c>
    </row>
    <row r="37" spans="1:7">
      <c r="A37" s="3">
        <v>36</v>
      </c>
      <c r="B37" s="3">
        <v>9</v>
      </c>
      <c r="C37" s="3">
        <v>2</v>
      </c>
      <c r="D37" s="2">
        <f>LOOKUP([1]use_fish!B37,[1]base_fish!A:A,[1]base_fish!C:C)+_xlfn.IFNA(INDEX([1]activity!E:E,MATCH([1]use_fish!C37,[1]activity!A:A,0)),0)</f>
        <v>113</v>
      </c>
      <c r="E37" s="2">
        <f t="shared" si="0"/>
        <v>8.8495575221238937E-3</v>
      </c>
      <c r="F37" s="2" t="s">
        <v>26</v>
      </c>
      <c r="G37" s="5" t="str">
        <f>INDEX([1]base_fish!E:E,MATCH([1]use_fish!B37,[1]base_fish!A:A,0))&amp;_xlfn.IFNA("+"&amp;INDEX([1]activity!F:F,MATCH([1]use_fish!C37,[1]activity!A:A,0)),"")</f>
        <v>灯笼鱼+威力提升</v>
      </c>
    </row>
    <row r="38" spans="1:7">
      <c r="A38" s="3">
        <v>37</v>
      </c>
      <c r="B38" s="3">
        <v>9</v>
      </c>
      <c r="C38" s="3">
        <v>3</v>
      </c>
      <c r="D38" s="2">
        <f>LOOKUP([1]use_fish!B38,[1]base_fish!A:A,[1]base_fish!C:C)+_xlfn.IFNA(INDEX([1]activity!E:E,MATCH([1]use_fish!C38,[1]activity!A:A,0)),0)</f>
        <v>113</v>
      </c>
      <c r="E38" s="2">
        <f t="shared" si="0"/>
        <v>8.8495575221238937E-3</v>
      </c>
      <c r="F38" s="2" t="s">
        <v>26</v>
      </c>
      <c r="G38" s="5" t="str">
        <f>INDEX([1]base_fish!E:E,MATCH([1]use_fish!B38,[1]base_fish!A:A,0))&amp;_xlfn.IFNA("+"&amp;INDEX([1]activity!F:F,MATCH([1]use_fish!C38,[1]activity!A:A,0)),"")</f>
        <v>灯笼鱼+暴击时刻</v>
      </c>
    </row>
    <row r="39" spans="1:7">
      <c r="A39" s="3">
        <v>38</v>
      </c>
      <c r="B39" s="3">
        <v>9</v>
      </c>
      <c r="C39" s="3">
        <v>5</v>
      </c>
      <c r="D39" s="2">
        <f>LOOKUP([1]use_fish!B39,[1]base_fish!A:A,[1]base_fish!C:C)+_xlfn.IFNA(INDEX([1]activity!E:E,MATCH([1]use_fish!C39,[1]activity!A:A,0)),0)</f>
        <v>100</v>
      </c>
      <c r="E39" s="2">
        <f t="shared" si="0"/>
        <v>0.01</v>
      </c>
      <c r="F39" s="2" t="s">
        <v>26</v>
      </c>
      <c r="G39" s="5" t="str">
        <f>INDEX([1]base_fish!E:E,MATCH([1]use_fish!B39,[1]base_fish!A:A,0))&amp;_xlfn.IFNA("+"&amp;INDEX([1]activity!F:F,MATCH([1]use_fish!C39,[1]activity!A:A,0)),"")</f>
        <v>灯笼鱼+闪电</v>
      </c>
    </row>
    <row r="40" spans="1:7">
      <c r="A40" s="3">
        <v>39</v>
      </c>
      <c r="B40" s="3">
        <v>9</v>
      </c>
      <c r="C40" s="3">
        <v>7</v>
      </c>
      <c r="D40" s="2">
        <f>LOOKUP([1]use_fish!B40,[1]base_fish!A:A,[1]base_fish!C:C)+_xlfn.IFNA(INDEX([1]activity!E:E,MATCH([1]use_fish!C40,[1]activity!A:A,0)),0)</f>
        <v>100</v>
      </c>
      <c r="E40" s="2">
        <f t="shared" si="0"/>
        <v>0.01</v>
      </c>
      <c r="F40" s="2" t="s">
        <v>26</v>
      </c>
      <c r="G40" s="5" t="str">
        <f>INDEX([1]base_fish!E:E,MATCH([1]use_fish!B40,[1]base_fish!A:A,0))&amp;_xlfn.IFNA("+"&amp;INDEX([1]activity!F:F,MATCH([1]use_fish!C40,[1]activity!A:A,0)),"")</f>
        <v>灯笼鱼+免费子弹</v>
      </c>
    </row>
    <row r="41" spans="1:7">
      <c r="A41" s="3">
        <v>40</v>
      </c>
      <c r="B41" s="3">
        <v>9</v>
      </c>
      <c r="C41" s="3">
        <v>17</v>
      </c>
      <c r="D41" s="2">
        <f>LOOKUP([1]use_fish!B41,[1]base_fish!A:A,[1]base_fish!C:C)+_xlfn.IFNA(INDEX([1]activity!E:E,MATCH([1]use_fish!C41,[1]activity!A:A,0)),0)</f>
        <v>100</v>
      </c>
      <c r="E41" s="2">
        <f t="shared" si="0"/>
        <v>0.01</v>
      </c>
      <c r="F41" s="2" t="s">
        <v>26</v>
      </c>
      <c r="G41" s="5" t="str">
        <f>INDEX([1]base_fish!E:E,MATCH([1]use_fish!B41,[1]base_fish!A:A,0))&amp;_xlfn.IFNA("+"&amp;INDEX([1]activity!F:F,MATCH([1]use_fish!C41,[1]activity!A:A,0)),"")</f>
        <v>灯笼鱼+贝壳</v>
      </c>
    </row>
    <row r="42" spans="1:7">
      <c r="A42" s="3">
        <v>41</v>
      </c>
      <c r="B42" s="3">
        <v>9</v>
      </c>
      <c r="C42" s="3">
        <v>12</v>
      </c>
      <c r="D42" s="2">
        <f>LOOKUP([1]use_fish!B42,[1]base_fish!A:A,[1]base_fish!C:C)+_xlfn.IFNA(INDEX([1]activity!E:E,MATCH([1]use_fish!C42,[1]activity!A:A,0)),0)</f>
        <v>50</v>
      </c>
      <c r="E42" s="2">
        <f t="shared" si="0"/>
        <v>0.02</v>
      </c>
      <c r="F42" s="2" t="s">
        <v>26</v>
      </c>
      <c r="G42" s="5" t="str">
        <f>INDEX([1]base_fish!E:E,MATCH([1]use_fish!B42,[1]base_fish!A:A,0))&amp;_xlfn.IFNA("+"&amp;INDEX([1]activity!F:F,MATCH([1]use_fish!C42,[1]activity!A:A,0)),"")</f>
        <v>灯笼鱼+锁定卡</v>
      </c>
    </row>
    <row r="43" spans="1:7">
      <c r="A43" s="3">
        <v>42</v>
      </c>
      <c r="B43" s="3">
        <v>9</v>
      </c>
      <c r="C43" s="3">
        <v>14</v>
      </c>
      <c r="D43" s="2">
        <f>LOOKUP([1]use_fish!B43,[1]base_fish!A:A,[1]base_fish!C:C)+_xlfn.IFNA(INDEX([1]activity!E:E,MATCH([1]use_fish!C43,[1]activity!A:A,0)),0)</f>
        <v>50</v>
      </c>
      <c r="E43" s="2">
        <f>1/D43</f>
        <v>0.02</v>
      </c>
      <c r="F43" s="2" t="s">
        <v>26</v>
      </c>
      <c r="G43" s="5" t="str">
        <f>INDEX([1]base_fish!E:E,MATCH([1]use_fish!B43,[1]base_fish!A:A,0))&amp;_xlfn.IFNA("+"&amp;INDEX([1]activity!F:F,MATCH([1]use_fish!C43,[1]activity!A:A,0)),"")</f>
        <v>灯笼鱼+冰冻卡</v>
      </c>
    </row>
    <row r="44" spans="1:7">
      <c r="A44" s="3">
        <v>43</v>
      </c>
      <c r="B44" s="3">
        <v>9</v>
      </c>
      <c r="C44" s="3">
        <v>4</v>
      </c>
      <c r="D44" s="2">
        <f>LOOKUP([1]use_fish!B44,[1]base_fish!A:A,[1]base_fish!C:C)+_xlfn.IFNA(INDEX([1]activity!E:E,MATCH([1]use_fish!C44,[1]activity!A:A,0)),0)</f>
        <v>80</v>
      </c>
      <c r="E44" s="2">
        <f>1/D44</f>
        <v>1.2500000000000001E-2</v>
      </c>
      <c r="F44" s="2" t="s">
        <v>26</v>
      </c>
      <c r="G44" s="5" t="str">
        <f>INDEX([1]base_fish!E:E,MATCH([1]use_fish!B44,[1]base_fish!A:A,0))&amp;_xlfn.IFNA("+"&amp;INDEX([1]activity!F:F,MATCH([1]use_fish!C44,[1]activity!A:A,0)),"")</f>
        <v>灯笼鱼+炸弹</v>
      </c>
    </row>
    <row r="45" spans="1:7">
      <c r="A45" s="3">
        <v>44</v>
      </c>
      <c r="B45" s="3">
        <v>9</v>
      </c>
      <c r="C45" s="3">
        <v>6</v>
      </c>
      <c r="D45" s="2">
        <f>LOOKUP([1]use_fish!B45,[1]base_fish!A:A,[1]base_fish!C:C)+_xlfn.IFNA(INDEX([1]activity!E:E,MATCH([1]use_fish!C45,[1]activity!A:A,0)),0)</f>
        <v>70</v>
      </c>
      <c r="E45" s="2">
        <f>1/D45</f>
        <v>1.4285714285714285E-2</v>
      </c>
      <c r="F45" s="2" t="s">
        <v>26</v>
      </c>
      <c r="G45" s="5" t="str">
        <f>INDEX([1]base_fish!E:E,MATCH([1]use_fish!B45,[1]base_fish!A:A,0))&amp;_xlfn.IFNA("+"&amp;INDEX([1]activity!F:F,MATCH([1]use_fish!C45,[1]activity!A:A,0)),"")</f>
        <v>灯笼鱼+炸弹</v>
      </c>
    </row>
    <row r="46" spans="1:7">
      <c r="A46" s="3">
        <v>45</v>
      </c>
      <c r="B46" s="3">
        <v>10</v>
      </c>
      <c r="C46" s="3">
        <v>2</v>
      </c>
      <c r="D46" s="2">
        <f>LOOKUP([1]use_fish!B46,[1]base_fish!A:A,[1]base_fish!C:C)+_xlfn.IFNA(INDEX([1]activity!E:E,MATCH([1]use_fish!C46,[1]activity!A:A,0)),0)</f>
        <v>123</v>
      </c>
      <c r="E46" s="2">
        <f t="shared" ref="E46:E51" si="1">1/D46</f>
        <v>8.130081300813009E-3</v>
      </c>
      <c r="F46" s="2" t="s">
        <v>26</v>
      </c>
      <c r="G46" s="5" t="str">
        <f>INDEX([1]base_fish!E:E,MATCH([1]use_fish!B46,[1]base_fish!A:A,0))&amp;_xlfn.IFNA("+"&amp;INDEX([1]activity!F:F,MATCH([1]use_fish!C46,[1]activity!A:A,0)),"")</f>
        <v>魔鬼鱼+威力提升</v>
      </c>
    </row>
    <row r="47" spans="1:7">
      <c r="A47" s="3">
        <v>46</v>
      </c>
      <c r="B47" s="3">
        <v>10</v>
      </c>
      <c r="C47" s="3">
        <v>3</v>
      </c>
      <c r="D47" s="2">
        <f>LOOKUP([1]use_fish!B47,[1]base_fish!A:A,[1]base_fish!C:C)+_xlfn.IFNA(INDEX([1]activity!E:E,MATCH([1]use_fish!C47,[1]activity!A:A,0)),0)</f>
        <v>123</v>
      </c>
      <c r="E47" s="2">
        <f t="shared" si="1"/>
        <v>8.130081300813009E-3</v>
      </c>
      <c r="F47" s="2" t="s">
        <v>26</v>
      </c>
      <c r="G47" s="5" t="str">
        <f>INDEX([1]base_fish!E:E,MATCH([1]use_fish!B47,[1]base_fish!A:A,0))&amp;_xlfn.IFNA("+"&amp;INDEX([1]activity!F:F,MATCH([1]use_fish!C47,[1]activity!A:A,0)),"")</f>
        <v>魔鬼鱼+暴击时刻</v>
      </c>
    </row>
    <row r="48" spans="1:7">
      <c r="A48" s="3">
        <v>47</v>
      </c>
      <c r="B48" s="3">
        <v>10</v>
      </c>
      <c r="C48" s="3">
        <v>5</v>
      </c>
      <c r="D48" s="2">
        <f>LOOKUP([1]use_fish!B48,[1]base_fish!A:A,[1]base_fish!C:C)+_xlfn.IFNA(INDEX([1]activity!E:E,MATCH([1]use_fish!C48,[1]activity!A:A,0)),0)</f>
        <v>110</v>
      </c>
      <c r="E48" s="2">
        <f t="shared" si="1"/>
        <v>9.0909090909090905E-3</v>
      </c>
      <c r="F48" s="2" t="s">
        <v>26</v>
      </c>
      <c r="G48" s="5" t="str">
        <f>INDEX([1]base_fish!E:E,MATCH([1]use_fish!B48,[1]base_fish!A:A,0))&amp;_xlfn.IFNA("+"&amp;INDEX([1]activity!F:F,MATCH([1]use_fish!C48,[1]activity!A:A,0)),"")</f>
        <v>魔鬼鱼+闪电</v>
      </c>
    </row>
    <row r="49" spans="1:7">
      <c r="A49" s="3">
        <v>48</v>
      </c>
      <c r="B49" s="3">
        <v>10</v>
      </c>
      <c r="C49" s="3">
        <v>7</v>
      </c>
      <c r="D49" s="2">
        <f>LOOKUP([1]use_fish!B49,[1]base_fish!A:A,[1]base_fish!C:C)+_xlfn.IFNA(INDEX([1]activity!E:E,MATCH([1]use_fish!C49,[1]activity!A:A,0)),0)</f>
        <v>110</v>
      </c>
      <c r="E49" s="2">
        <f t="shared" si="1"/>
        <v>9.0909090909090905E-3</v>
      </c>
      <c r="F49" s="2" t="s">
        <v>26</v>
      </c>
      <c r="G49" s="5" t="str">
        <f>INDEX([1]base_fish!E:E,MATCH([1]use_fish!B49,[1]base_fish!A:A,0))&amp;_xlfn.IFNA("+"&amp;INDEX([1]activity!F:F,MATCH([1]use_fish!C49,[1]activity!A:A,0)),"")</f>
        <v>魔鬼鱼+免费子弹</v>
      </c>
    </row>
    <row r="50" spans="1:7">
      <c r="A50" s="3">
        <v>49</v>
      </c>
      <c r="B50" s="3">
        <v>10</v>
      </c>
      <c r="C50" s="3">
        <v>17</v>
      </c>
      <c r="D50" s="2">
        <f>LOOKUP([1]use_fish!B50,[1]base_fish!A:A,[1]base_fish!C:C)+_xlfn.IFNA(INDEX([1]activity!E:E,MATCH([1]use_fish!C50,[1]activity!A:A,0)),0)</f>
        <v>110</v>
      </c>
      <c r="E50" s="2">
        <f t="shared" si="1"/>
        <v>9.0909090909090905E-3</v>
      </c>
      <c r="F50" s="2" t="s">
        <v>26</v>
      </c>
      <c r="G50" s="5" t="str">
        <f>INDEX([1]base_fish!E:E,MATCH([1]use_fish!B50,[1]base_fish!A:A,0))&amp;_xlfn.IFNA("+"&amp;INDEX([1]activity!F:F,MATCH([1]use_fish!C50,[1]activity!A:A,0)),"")</f>
        <v>魔鬼鱼+贝壳</v>
      </c>
    </row>
    <row r="51" spans="1:7">
      <c r="A51" s="3">
        <v>50</v>
      </c>
      <c r="B51" s="3">
        <v>10</v>
      </c>
      <c r="C51" s="3">
        <v>12</v>
      </c>
      <c r="D51" s="2">
        <f>LOOKUP([1]use_fish!B51,[1]base_fish!A:A,[1]base_fish!C:C)+_xlfn.IFNA(INDEX([1]activity!E:E,MATCH([1]use_fish!C51,[1]activity!A:A,0)),0)</f>
        <v>60</v>
      </c>
      <c r="E51" s="2">
        <f t="shared" si="1"/>
        <v>1.6666666666666666E-2</v>
      </c>
      <c r="F51" s="2" t="s">
        <v>26</v>
      </c>
      <c r="G51" s="5" t="str">
        <f>INDEX([1]base_fish!E:E,MATCH([1]use_fish!B51,[1]base_fish!A:A,0))&amp;_xlfn.IFNA("+"&amp;INDEX([1]activity!F:F,MATCH([1]use_fish!C51,[1]activity!A:A,0)),"")</f>
        <v>魔鬼鱼+锁定卡</v>
      </c>
    </row>
    <row r="52" spans="1:7">
      <c r="A52" s="3">
        <v>51</v>
      </c>
      <c r="B52" s="3">
        <v>10</v>
      </c>
      <c r="C52" s="3">
        <v>13</v>
      </c>
      <c r="D52" s="2">
        <f>LOOKUP([1]use_fish!B52,[1]base_fish!A:A,[1]base_fish!C:C)+_xlfn.IFNA(INDEX([1]activity!E:E,MATCH([1]use_fish!C52,[1]activity!A:A,0)),0)</f>
        <v>60</v>
      </c>
      <c r="E52" s="2">
        <f>1/D52</f>
        <v>1.6666666666666666E-2</v>
      </c>
      <c r="F52" s="2" t="s">
        <v>26</v>
      </c>
      <c r="G52" s="5" t="str">
        <f>INDEX([1]base_fish!E:E,MATCH([1]use_fish!B52,[1]base_fish!A:A,0))&amp;_xlfn.IFNA("+"&amp;INDEX([1]activity!F:F,MATCH([1]use_fish!C52,[1]activity!A:A,0)),"")</f>
        <v>魔鬼鱼+冰冻卡</v>
      </c>
    </row>
    <row r="53" spans="1:7">
      <c r="A53" s="3">
        <v>52</v>
      </c>
      <c r="B53" s="3">
        <v>10</v>
      </c>
      <c r="C53" s="3">
        <v>14</v>
      </c>
      <c r="D53" s="2">
        <f>LOOKUP([1]use_fish!B53,[1]base_fish!A:A,[1]base_fish!C:C)+_xlfn.IFNA(INDEX([1]activity!E:E,MATCH([1]use_fish!C53,[1]activity!A:A,0)),0)</f>
        <v>60</v>
      </c>
      <c r="E53" s="2">
        <f>1/D53</f>
        <v>1.6666666666666666E-2</v>
      </c>
      <c r="F53" s="2" t="s">
        <v>26</v>
      </c>
      <c r="G53" s="5" t="str">
        <f>INDEX([1]base_fish!E:E,MATCH([1]use_fish!B53,[1]base_fish!A:A,0))&amp;_xlfn.IFNA("+"&amp;INDEX([1]activity!F:F,MATCH([1]use_fish!C53,[1]activity!A:A,0)),"")</f>
        <v>魔鬼鱼+冰冻卡</v>
      </c>
    </row>
    <row r="54" spans="1:7">
      <c r="A54" s="3">
        <v>53</v>
      </c>
      <c r="B54" s="3">
        <v>10</v>
      </c>
      <c r="C54" s="3">
        <v>4</v>
      </c>
      <c r="D54" s="2">
        <f>LOOKUP([1]use_fish!B54,[1]base_fish!A:A,[1]base_fish!C:C)+_xlfn.IFNA(INDEX([1]activity!E:E,MATCH([1]use_fish!C54,[1]activity!A:A,0)),0)</f>
        <v>90</v>
      </c>
      <c r="E54" s="2">
        <f>1/D54</f>
        <v>1.1111111111111112E-2</v>
      </c>
      <c r="F54" s="2" t="s">
        <v>26</v>
      </c>
      <c r="G54" s="5" t="str">
        <f>INDEX([1]base_fish!E:E,MATCH([1]use_fish!B54,[1]base_fish!A:A,0))&amp;_xlfn.IFNA("+"&amp;INDEX([1]activity!F:F,MATCH([1]use_fish!C54,[1]activity!A:A,0)),"")</f>
        <v>魔鬼鱼+炸弹</v>
      </c>
    </row>
    <row r="55" spans="1:7">
      <c r="A55" s="3">
        <v>54</v>
      </c>
      <c r="B55" s="3">
        <v>10</v>
      </c>
      <c r="C55" s="3">
        <v>6</v>
      </c>
      <c r="D55" s="2">
        <f>LOOKUP([1]use_fish!B55,[1]base_fish!A:A,[1]base_fish!C:C)+_xlfn.IFNA(INDEX([1]activity!E:E,MATCH([1]use_fish!C55,[1]activity!A:A,0)),0)</f>
        <v>80</v>
      </c>
      <c r="E55" s="2">
        <f>1/D55</f>
        <v>1.2500000000000001E-2</v>
      </c>
      <c r="F55" s="2" t="s">
        <v>26</v>
      </c>
      <c r="G55" s="5" t="str">
        <f>INDEX([1]base_fish!E:E,MATCH([1]use_fish!B55,[1]base_fish!A:A,0))&amp;_xlfn.IFNA("+"&amp;INDEX([1]activity!F:F,MATCH([1]use_fish!C55,[1]activity!A:A,0)),"")</f>
        <v>魔鬼鱼+炸弹</v>
      </c>
    </row>
    <row r="56" spans="1:7">
      <c r="A56" s="3">
        <v>55</v>
      </c>
      <c r="B56" s="3">
        <v>11</v>
      </c>
      <c r="C56" s="3">
        <v>2</v>
      </c>
      <c r="D56" s="2">
        <f>LOOKUP([1]use_fish!B56,[1]base_fish!A:A,[1]base_fish!C:C)+_xlfn.IFNA(INDEX([1]activity!E:E,MATCH([1]use_fish!C56,[1]activity!A:A,0)),0)</f>
        <v>133</v>
      </c>
      <c r="E56" s="2">
        <f t="shared" ref="E56:E79" si="2">1/D56</f>
        <v>7.5187969924812026E-3</v>
      </c>
      <c r="F56" s="2" t="s">
        <v>26</v>
      </c>
      <c r="G56" s="5" t="str">
        <f>INDEX([1]base_fish!E:E,MATCH([1]use_fish!B56,[1]base_fish!A:A,0))&amp;_xlfn.IFNA("+"&amp;INDEX([1]activity!F:F,MATCH([1]use_fish!C56,[1]activity!A:A,0)),"")</f>
        <v>大白鲨+威力提升</v>
      </c>
    </row>
    <row r="57" spans="1:7">
      <c r="A57" s="3">
        <v>56</v>
      </c>
      <c r="B57" s="3">
        <v>11</v>
      </c>
      <c r="C57" s="3">
        <v>3</v>
      </c>
      <c r="D57" s="2">
        <f>LOOKUP([1]use_fish!B57,[1]base_fish!A:A,[1]base_fish!C:C)+_xlfn.IFNA(INDEX([1]activity!E:E,MATCH([1]use_fish!C57,[1]activity!A:A,0)),0)</f>
        <v>133</v>
      </c>
      <c r="E57" s="2">
        <f t="shared" si="2"/>
        <v>7.5187969924812026E-3</v>
      </c>
      <c r="F57" s="2" t="s">
        <v>26</v>
      </c>
      <c r="G57" s="5" t="str">
        <f>INDEX([1]base_fish!E:E,MATCH([1]use_fish!B57,[1]base_fish!A:A,0))&amp;_xlfn.IFNA("+"&amp;INDEX([1]activity!F:F,MATCH([1]use_fish!C57,[1]activity!A:A,0)),"")</f>
        <v>大白鲨+暴击时刻</v>
      </c>
    </row>
    <row r="58" spans="1:7">
      <c r="A58" s="3">
        <v>57</v>
      </c>
      <c r="B58" s="3">
        <v>11</v>
      </c>
      <c r="C58" s="3">
        <v>5</v>
      </c>
      <c r="D58" s="2">
        <f>LOOKUP([1]use_fish!B58,[1]base_fish!A:A,[1]base_fish!C:C)+_xlfn.IFNA(INDEX([1]activity!E:E,MATCH([1]use_fish!C58,[1]activity!A:A,0)),0)</f>
        <v>120</v>
      </c>
      <c r="E58" s="2">
        <f t="shared" si="2"/>
        <v>8.3333333333333332E-3</v>
      </c>
      <c r="F58" s="2" t="s">
        <v>26</v>
      </c>
      <c r="G58" s="5" t="str">
        <f>INDEX([1]base_fish!E:E,MATCH([1]use_fish!B58,[1]base_fish!A:A,0))&amp;_xlfn.IFNA("+"&amp;INDEX([1]activity!F:F,MATCH([1]use_fish!C58,[1]activity!A:A,0)),"")</f>
        <v>大白鲨+闪电</v>
      </c>
    </row>
    <row r="59" spans="1:7">
      <c r="A59" s="3">
        <v>58</v>
      </c>
      <c r="B59" s="3">
        <v>11</v>
      </c>
      <c r="C59" s="3">
        <v>7</v>
      </c>
      <c r="D59" s="2">
        <f>LOOKUP([1]use_fish!B59,[1]base_fish!A:A,[1]base_fish!C:C)+_xlfn.IFNA(INDEX([1]activity!E:E,MATCH([1]use_fish!C59,[1]activity!A:A,0)),0)</f>
        <v>120</v>
      </c>
      <c r="E59" s="2">
        <f t="shared" si="2"/>
        <v>8.3333333333333332E-3</v>
      </c>
      <c r="F59" s="2" t="s">
        <v>26</v>
      </c>
      <c r="G59" s="5" t="str">
        <f>INDEX([1]base_fish!E:E,MATCH([1]use_fish!B59,[1]base_fish!A:A,0))&amp;_xlfn.IFNA("+"&amp;INDEX([1]activity!F:F,MATCH([1]use_fish!C59,[1]activity!A:A,0)),"")</f>
        <v>大白鲨+免费子弹</v>
      </c>
    </row>
    <row r="60" spans="1:7">
      <c r="A60" s="3">
        <v>59</v>
      </c>
      <c r="B60" s="3">
        <v>11</v>
      </c>
      <c r="C60" s="3">
        <v>17</v>
      </c>
      <c r="D60" s="2">
        <f>LOOKUP([1]use_fish!B60,[1]base_fish!A:A,[1]base_fish!C:C)+_xlfn.IFNA(INDEX([1]activity!E:E,MATCH([1]use_fish!C60,[1]activity!A:A,0)),0)</f>
        <v>120</v>
      </c>
      <c r="E60" s="2">
        <f t="shared" si="2"/>
        <v>8.3333333333333332E-3</v>
      </c>
      <c r="F60" s="2" t="s">
        <v>26</v>
      </c>
      <c r="G60" s="5" t="str">
        <f>INDEX([1]base_fish!E:E,MATCH([1]use_fish!B60,[1]base_fish!A:A,0))&amp;_xlfn.IFNA("+"&amp;INDEX([1]activity!F:F,MATCH([1]use_fish!C60,[1]activity!A:A,0)),"")</f>
        <v>大白鲨+贝壳</v>
      </c>
    </row>
    <row r="61" spans="1:7">
      <c r="A61" s="3">
        <v>60</v>
      </c>
      <c r="B61" s="3">
        <v>11</v>
      </c>
      <c r="C61" s="3">
        <v>11</v>
      </c>
      <c r="D61" s="2">
        <f>LOOKUP([1]use_fish!B61,[1]base_fish!A:A,[1]base_fish!C:C)+_xlfn.IFNA(INDEX([1]activity!E:E,MATCH([1]use_fish!C61,[1]activity!A:A,0)),0)</f>
        <v>70</v>
      </c>
      <c r="E61" s="2">
        <f t="shared" si="2"/>
        <v>1.4285714285714285E-2</v>
      </c>
      <c r="F61" s="2" t="s">
        <v>26</v>
      </c>
      <c r="G61" s="5" t="str">
        <f>INDEX([1]base_fish!E:E,MATCH([1]use_fish!B61,[1]base_fish!A:A,0))&amp;_xlfn.IFNA("+"&amp;INDEX([1]activity!F:F,MATCH([1]use_fish!C61,[1]activity!A:A,0)),"")</f>
        <v>大白鲨+锁定卡</v>
      </c>
    </row>
    <row r="62" spans="1:7">
      <c r="A62" s="3">
        <v>61</v>
      </c>
      <c r="B62" s="3">
        <v>11</v>
      </c>
      <c r="C62" s="3">
        <v>12</v>
      </c>
      <c r="D62" s="2">
        <f>LOOKUP([1]use_fish!B62,[1]base_fish!A:A,[1]base_fish!C:C)+_xlfn.IFNA(INDEX([1]activity!E:E,MATCH([1]use_fish!C62,[1]activity!A:A,0)),0)</f>
        <v>70</v>
      </c>
      <c r="E62" s="2">
        <f t="shared" si="2"/>
        <v>1.4285714285714285E-2</v>
      </c>
      <c r="F62" s="2" t="s">
        <v>26</v>
      </c>
      <c r="G62" s="5" t="str">
        <f>INDEX([1]base_fish!E:E,MATCH([1]use_fish!B62,[1]base_fish!A:A,0))&amp;_xlfn.IFNA("+"&amp;INDEX([1]activity!F:F,MATCH([1]use_fish!C62,[1]activity!A:A,0)),"")</f>
        <v>大白鲨+锁定卡</v>
      </c>
    </row>
    <row r="63" spans="1:7">
      <c r="A63" s="3">
        <v>62</v>
      </c>
      <c r="B63" s="3">
        <v>11</v>
      </c>
      <c r="C63" s="3">
        <v>13</v>
      </c>
      <c r="D63" s="2">
        <f>LOOKUP([1]use_fish!B63,[1]base_fish!A:A,[1]base_fish!C:C)+_xlfn.IFNA(INDEX([1]activity!E:E,MATCH([1]use_fish!C63,[1]activity!A:A,0)),0)</f>
        <v>70</v>
      </c>
      <c r="E63" s="2">
        <f t="shared" si="2"/>
        <v>1.4285714285714285E-2</v>
      </c>
      <c r="F63" s="2" t="s">
        <v>26</v>
      </c>
      <c r="G63" s="5" t="str">
        <f>INDEX([1]base_fish!E:E,MATCH([1]use_fish!B63,[1]base_fish!A:A,0))&amp;_xlfn.IFNA("+"&amp;INDEX([1]activity!F:F,MATCH([1]use_fish!C63,[1]activity!A:A,0)),"")</f>
        <v>大白鲨+冰冻卡</v>
      </c>
    </row>
    <row r="64" spans="1:7">
      <c r="A64" s="3">
        <v>63</v>
      </c>
      <c r="B64" s="3">
        <v>11</v>
      </c>
      <c r="C64" s="3">
        <v>14</v>
      </c>
      <c r="D64" s="2">
        <f>LOOKUP([1]use_fish!B64,[1]base_fish!A:A,[1]base_fish!C:C)+_xlfn.IFNA(INDEX([1]activity!E:E,MATCH([1]use_fish!C64,[1]activity!A:A,0)),0)</f>
        <v>70</v>
      </c>
      <c r="E64" s="2">
        <f t="shared" si="2"/>
        <v>1.4285714285714285E-2</v>
      </c>
      <c r="F64" s="2" t="s">
        <v>26</v>
      </c>
      <c r="G64" s="5" t="str">
        <f>INDEX([1]base_fish!E:E,MATCH([1]use_fish!B64,[1]base_fish!A:A,0))&amp;_xlfn.IFNA("+"&amp;INDEX([1]activity!F:F,MATCH([1]use_fish!C64,[1]activity!A:A,0)),"")</f>
        <v>大白鲨+冰冻卡</v>
      </c>
    </row>
    <row r="65" spans="1:7">
      <c r="A65" s="3">
        <v>64</v>
      </c>
      <c r="B65" s="3">
        <v>12</v>
      </c>
      <c r="C65" s="3">
        <v>2</v>
      </c>
      <c r="D65" s="2">
        <f>LOOKUP([1]use_fish!B65,[1]base_fish!A:A,[1]base_fish!C:C)+_xlfn.IFNA(INDEX([1]activity!E:E,MATCH([1]use_fish!C65,[1]activity!A:A,0)),0)</f>
        <v>163</v>
      </c>
      <c r="E65" s="2">
        <f t="shared" si="2"/>
        <v>6.1349693251533744E-3</v>
      </c>
      <c r="F65" s="2" t="s">
        <v>26</v>
      </c>
      <c r="G65" s="5" t="str">
        <f>INDEX([1]base_fish!E:E,MATCH([1]use_fish!B65,[1]base_fish!A:A,0))&amp;_xlfn.IFNA("+"&amp;INDEX([1]activity!F:F,MATCH([1]use_fish!C65,[1]activity!A:A,0)),"")</f>
        <v>锤头鲨+威力提升</v>
      </c>
    </row>
    <row r="66" spans="1:7">
      <c r="A66" s="3">
        <v>65</v>
      </c>
      <c r="B66" s="3">
        <v>12</v>
      </c>
      <c r="C66" s="3">
        <v>3</v>
      </c>
      <c r="D66" s="2">
        <f>LOOKUP([1]use_fish!B66,[1]base_fish!A:A,[1]base_fish!C:C)+_xlfn.IFNA(INDEX([1]activity!E:E,MATCH([1]use_fish!C66,[1]activity!A:A,0)),0)</f>
        <v>163</v>
      </c>
      <c r="E66" s="2">
        <f t="shared" si="2"/>
        <v>6.1349693251533744E-3</v>
      </c>
      <c r="F66" s="2" t="s">
        <v>26</v>
      </c>
      <c r="G66" s="5" t="str">
        <f>INDEX([1]base_fish!E:E,MATCH([1]use_fish!B66,[1]base_fish!A:A,0))&amp;_xlfn.IFNA("+"&amp;INDEX([1]activity!F:F,MATCH([1]use_fish!C66,[1]activity!A:A,0)),"")</f>
        <v>锤头鲨+暴击时刻</v>
      </c>
    </row>
    <row r="67" spans="1:7">
      <c r="A67" s="3">
        <v>66</v>
      </c>
      <c r="B67" s="3">
        <v>12</v>
      </c>
      <c r="C67" s="3">
        <v>5</v>
      </c>
      <c r="D67" s="2">
        <f>LOOKUP([1]use_fish!B67,[1]base_fish!A:A,[1]base_fish!C:C)+_xlfn.IFNA(INDEX([1]activity!E:E,MATCH([1]use_fish!C67,[1]activity!A:A,0)),0)</f>
        <v>150</v>
      </c>
      <c r="E67" s="2">
        <f t="shared" si="2"/>
        <v>6.6666666666666671E-3</v>
      </c>
      <c r="F67" s="2" t="s">
        <v>26</v>
      </c>
      <c r="G67" s="5" t="str">
        <f>INDEX([1]base_fish!E:E,MATCH([1]use_fish!B67,[1]base_fish!A:A,0))&amp;_xlfn.IFNA("+"&amp;INDEX([1]activity!F:F,MATCH([1]use_fish!C67,[1]activity!A:A,0)),"")</f>
        <v>锤头鲨+闪电</v>
      </c>
    </row>
    <row r="68" spans="1:7">
      <c r="A68" s="3">
        <v>67</v>
      </c>
      <c r="B68" s="3">
        <v>12</v>
      </c>
      <c r="C68" s="3">
        <v>7</v>
      </c>
      <c r="D68" s="2">
        <f>LOOKUP([1]use_fish!B68,[1]base_fish!A:A,[1]base_fish!C:C)+_xlfn.IFNA(INDEX([1]activity!E:E,MATCH([1]use_fish!C68,[1]activity!A:A,0)),0)</f>
        <v>150</v>
      </c>
      <c r="E68" s="2">
        <f t="shared" si="2"/>
        <v>6.6666666666666671E-3</v>
      </c>
      <c r="F68" s="2" t="s">
        <v>26</v>
      </c>
      <c r="G68" s="5" t="str">
        <f>INDEX([1]base_fish!E:E,MATCH([1]use_fish!B68,[1]base_fish!A:A,0))&amp;_xlfn.IFNA("+"&amp;INDEX([1]activity!F:F,MATCH([1]use_fish!C68,[1]activity!A:A,0)),"")</f>
        <v>锤头鲨+免费子弹</v>
      </c>
    </row>
    <row r="69" spans="1:7">
      <c r="A69" s="3">
        <v>68</v>
      </c>
      <c r="B69" s="3">
        <v>12</v>
      </c>
      <c r="C69" s="3">
        <v>17</v>
      </c>
      <c r="D69" s="2">
        <f>LOOKUP([1]use_fish!B69,[1]base_fish!A:A,[1]base_fish!C:C)+_xlfn.IFNA(INDEX([1]activity!E:E,MATCH([1]use_fish!C69,[1]activity!A:A,0)),0)</f>
        <v>150</v>
      </c>
      <c r="E69" s="2">
        <f t="shared" si="2"/>
        <v>6.6666666666666671E-3</v>
      </c>
      <c r="F69" s="2" t="s">
        <v>26</v>
      </c>
      <c r="G69" s="5" t="str">
        <f>INDEX([1]base_fish!E:E,MATCH([1]use_fish!B69,[1]base_fish!A:A,0))&amp;_xlfn.IFNA("+"&amp;INDEX([1]activity!F:F,MATCH([1]use_fish!C69,[1]activity!A:A,0)),"")</f>
        <v>锤头鲨+贝壳</v>
      </c>
    </row>
    <row r="70" spans="1:7">
      <c r="A70" s="3">
        <v>69</v>
      </c>
      <c r="B70" s="3">
        <v>12</v>
      </c>
      <c r="C70" s="3">
        <v>12</v>
      </c>
      <c r="D70" s="2">
        <f>LOOKUP([1]use_fish!B70,[1]base_fish!A:A,[1]base_fish!C:C)+_xlfn.IFNA(INDEX([1]activity!E:E,MATCH([1]use_fish!C70,[1]activity!A:A,0)),0)</f>
        <v>100</v>
      </c>
      <c r="E70" s="2">
        <f t="shared" si="2"/>
        <v>0.01</v>
      </c>
      <c r="F70" s="2" t="s">
        <v>26</v>
      </c>
      <c r="G70" s="5" t="str">
        <f>INDEX([1]base_fish!E:E,MATCH([1]use_fish!B70,[1]base_fish!A:A,0))&amp;_xlfn.IFNA("+"&amp;INDEX([1]activity!F:F,MATCH([1]use_fish!C70,[1]activity!A:A,0)),"")</f>
        <v>锤头鲨+锁定卡</v>
      </c>
    </row>
    <row r="71" spans="1:7">
      <c r="A71" s="3">
        <v>70</v>
      </c>
      <c r="B71" s="3">
        <v>12</v>
      </c>
      <c r="C71" s="3">
        <v>13</v>
      </c>
      <c r="D71" s="2">
        <f>LOOKUP([1]use_fish!B71,[1]base_fish!A:A,[1]base_fish!C:C)+_xlfn.IFNA(INDEX([1]activity!E:E,MATCH([1]use_fish!C71,[1]activity!A:A,0)),0)</f>
        <v>100</v>
      </c>
      <c r="E71" s="2">
        <f t="shared" si="2"/>
        <v>0.01</v>
      </c>
      <c r="F71" s="2" t="s">
        <v>26</v>
      </c>
      <c r="G71" s="5" t="str">
        <f>INDEX([1]base_fish!E:E,MATCH([1]use_fish!B71,[1]base_fish!A:A,0))&amp;_xlfn.IFNA("+"&amp;INDEX([1]activity!F:F,MATCH([1]use_fish!C71,[1]activity!A:A,0)),"")</f>
        <v>锤头鲨+冰冻卡</v>
      </c>
    </row>
    <row r="72" spans="1:7">
      <c r="A72" s="3">
        <v>71</v>
      </c>
      <c r="B72" s="3">
        <v>12</v>
      </c>
      <c r="C72" s="3">
        <v>14</v>
      </c>
      <c r="D72" s="2">
        <f>LOOKUP([1]use_fish!B72,[1]base_fish!A:A,[1]base_fish!C:C)+_xlfn.IFNA(INDEX([1]activity!E:E,MATCH([1]use_fish!C72,[1]activity!A:A,0)),0)</f>
        <v>100</v>
      </c>
      <c r="E72" s="2">
        <f t="shared" si="2"/>
        <v>0.01</v>
      </c>
      <c r="F72" s="2" t="s">
        <v>26</v>
      </c>
      <c r="G72" s="5" t="str">
        <f>INDEX([1]base_fish!E:E,MATCH([1]use_fish!B72,[1]base_fish!A:A,0))&amp;_xlfn.IFNA("+"&amp;INDEX([1]activity!F:F,MATCH([1]use_fish!C72,[1]activity!A:A,0)),"")</f>
        <v>锤头鲨+冰冻卡</v>
      </c>
    </row>
    <row r="73" spans="1:7">
      <c r="A73" s="3">
        <v>72</v>
      </c>
      <c r="B73" s="3">
        <v>14</v>
      </c>
      <c r="C73" s="3">
        <v>2</v>
      </c>
      <c r="D73" s="2">
        <f>LOOKUP([1]use_fish!B73,[1]base_fish!A:A,[1]base_fish!C:C)+_xlfn.IFNA(INDEX([1]activity!E:E,MATCH([1]use_fish!C73,[1]activity!A:A,0)),0)</f>
        <v>143</v>
      </c>
      <c r="E73" s="2">
        <f t="shared" si="2"/>
        <v>6.993006993006993E-3</v>
      </c>
      <c r="F73" s="2" t="s">
        <v>26</v>
      </c>
      <c r="G73" s="5" t="str">
        <f>INDEX([1]base_fish!E:E,MATCH([1]use_fish!B73,[1]base_fish!A:A,0))&amp;_xlfn.IFNA("+"&amp;INDEX([1]activity!F:F,MATCH([1]use_fish!C73,[1]activity!A:A,0)),"")</f>
        <v>黄金海龟+威力提升</v>
      </c>
    </row>
    <row r="74" spans="1:7">
      <c r="A74" s="3">
        <v>73</v>
      </c>
      <c r="B74" s="3">
        <v>14</v>
      </c>
      <c r="C74" s="3">
        <v>3</v>
      </c>
      <c r="D74" s="2">
        <f>LOOKUP([1]use_fish!B74,[1]base_fish!A:A,[1]base_fish!C:C)+_xlfn.IFNA(INDEX([1]activity!E:E,MATCH([1]use_fish!C74,[1]activity!A:A,0)),0)</f>
        <v>143</v>
      </c>
      <c r="E74" s="2">
        <f t="shared" si="2"/>
        <v>6.993006993006993E-3</v>
      </c>
      <c r="F74" s="2" t="s">
        <v>26</v>
      </c>
      <c r="G74" s="5" t="str">
        <f>INDEX([1]base_fish!E:E,MATCH([1]use_fish!B74,[1]base_fish!A:A,0))&amp;_xlfn.IFNA("+"&amp;INDEX([1]activity!F:F,MATCH([1]use_fish!C74,[1]activity!A:A,0)),"")</f>
        <v>黄金海龟+暴击时刻</v>
      </c>
    </row>
    <row r="75" spans="1:7">
      <c r="A75" s="3">
        <v>74</v>
      </c>
      <c r="B75" s="3">
        <v>14</v>
      </c>
      <c r="C75" s="3">
        <v>5</v>
      </c>
      <c r="D75" s="2">
        <f>LOOKUP([1]use_fish!B75,[1]base_fish!A:A,[1]base_fish!C:C)+_xlfn.IFNA(INDEX([1]activity!E:E,MATCH([1]use_fish!C75,[1]activity!A:A,0)),0)</f>
        <v>130</v>
      </c>
      <c r="E75" s="2">
        <f t="shared" si="2"/>
        <v>7.6923076923076927E-3</v>
      </c>
      <c r="F75" s="2" t="s">
        <v>26</v>
      </c>
      <c r="G75" s="5" t="str">
        <f>INDEX([1]base_fish!E:E,MATCH([1]use_fish!B75,[1]base_fish!A:A,0))&amp;_xlfn.IFNA("+"&amp;INDEX([1]activity!F:F,MATCH([1]use_fish!C75,[1]activity!A:A,0)),"")</f>
        <v>黄金海龟+闪电</v>
      </c>
    </row>
    <row r="76" spans="1:7">
      <c r="A76" s="3">
        <v>75</v>
      </c>
      <c r="B76" s="3">
        <v>14</v>
      </c>
      <c r="C76" s="3">
        <v>7</v>
      </c>
      <c r="D76" s="2">
        <f>LOOKUP([1]use_fish!B76,[1]base_fish!A:A,[1]base_fish!C:C)+_xlfn.IFNA(INDEX([1]activity!E:E,MATCH([1]use_fish!C76,[1]activity!A:A,0)),0)</f>
        <v>130</v>
      </c>
      <c r="E76" s="2">
        <f t="shared" si="2"/>
        <v>7.6923076923076927E-3</v>
      </c>
      <c r="F76" s="2" t="s">
        <v>26</v>
      </c>
      <c r="G76" s="5" t="str">
        <f>INDEX([1]base_fish!E:E,MATCH([1]use_fish!B76,[1]base_fish!A:A,0))&amp;_xlfn.IFNA("+"&amp;INDEX([1]activity!F:F,MATCH([1]use_fish!C76,[1]activity!A:A,0)),"")</f>
        <v>黄金海龟+免费子弹</v>
      </c>
    </row>
    <row r="77" spans="1:7">
      <c r="A77" s="3">
        <v>76</v>
      </c>
      <c r="B77" s="3">
        <v>14</v>
      </c>
      <c r="C77" s="3">
        <v>17</v>
      </c>
      <c r="D77" s="2">
        <f>LOOKUP([1]use_fish!B77,[1]base_fish!A:A,[1]base_fish!C:C)+_xlfn.IFNA(INDEX([1]activity!E:E,MATCH([1]use_fish!C77,[1]activity!A:A,0)),0)</f>
        <v>130</v>
      </c>
      <c r="E77" s="2">
        <f t="shared" si="2"/>
        <v>7.6923076923076927E-3</v>
      </c>
      <c r="F77" s="2" t="s">
        <v>26</v>
      </c>
      <c r="G77" s="5" t="str">
        <f>INDEX([1]base_fish!E:E,MATCH([1]use_fish!B77,[1]base_fish!A:A,0))&amp;_xlfn.IFNA("+"&amp;INDEX([1]activity!F:F,MATCH([1]use_fish!C77,[1]activity!A:A,0)),"")</f>
        <v>黄金海龟+贝壳</v>
      </c>
    </row>
    <row r="78" spans="1:7">
      <c r="A78" s="3">
        <v>77</v>
      </c>
      <c r="B78" s="3">
        <v>14</v>
      </c>
      <c r="C78" s="3">
        <v>11</v>
      </c>
      <c r="D78" s="2">
        <f>LOOKUP([1]use_fish!B78,[1]base_fish!A:A,[1]base_fish!C:C)+_xlfn.IFNA(INDEX([1]activity!E:E,MATCH([1]use_fish!C78,[1]activity!A:A,0)),0)</f>
        <v>80</v>
      </c>
      <c r="E78" s="2">
        <f t="shared" si="2"/>
        <v>1.2500000000000001E-2</v>
      </c>
      <c r="F78" s="2" t="s">
        <v>26</v>
      </c>
      <c r="G78" s="5" t="str">
        <f>INDEX([1]base_fish!E:E,MATCH([1]use_fish!B78,[1]base_fish!A:A,0))&amp;_xlfn.IFNA("+"&amp;INDEX([1]activity!F:F,MATCH([1]use_fish!C78,[1]activity!A:A,0)),"")</f>
        <v>黄金海龟+锁定卡</v>
      </c>
    </row>
    <row r="79" spans="1:7">
      <c r="A79" s="3">
        <v>78</v>
      </c>
      <c r="B79" s="3">
        <v>14</v>
      </c>
      <c r="C79" s="3">
        <v>12</v>
      </c>
      <c r="D79" s="2">
        <f>LOOKUP([1]use_fish!B79,[1]base_fish!A:A,[1]base_fish!C:C)+_xlfn.IFNA(INDEX([1]activity!E:E,MATCH([1]use_fish!C79,[1]activity!A:A,0)),0)</f>
        <v>80</v>
      </c>
      <c r="E79" s="2">
        <f t="shared" si="2"/>
        <v>1.2500000000000001E-2</v>
      </c>
      <c r="F79" s="2" t="s">
        <v>26</v>
      </c>
      <c r="G79" s="5" t="str">
        <f>INDEX([1]base_fish!E:E,MATCH([1]use_fish!B79,[1]base_fish!A:A,0))&amp;_xlfn.IFNA("+"&amp;INDEX([1]activity!F:F,MATCH([1]use_fish!C79,[1]activity!A:A,0)),"")</f>
        <v>黄金海龟+锁定卡</v>
      </c>
    </row>
    <row r="80" spans="1:7">
      <c r="A80" s="3">
        <v>79</v>
      </c>
      <c r="B80" s="3">
        <v>14</v>
      </c>
      <c r="C80" s="3">
        <v>14</v>
      </c>
      <c r="D80" s="2">
        <f>LOOKUP([1]use_fish!B80,[1]base_fish!A:A,[1]base_fish!C:C)+_xlfn.IFNA(INDEX([1]activity!E:E,MATCH([1]use_fish!C80,[1]activity!A:A,0)),0)</f>
        <v>80</v>
      </c>
      <c r="E80" s="2">
        <f>1/D80</f>
        <v>1.2500000000000001E-2</v>
      </c>
      <c r="F80" s="2" t="s">
        <v>26</v>
      </c>
      <c r="G80" s="5" t="str">
        <f>INDEX([1]base_fish!E:E,MATCH([1]use_fish!B80,[1]base_fish!A:A,0))&amp;_xlfn.IFNA("+"&amp;INDEX([1]activity!F:F,MATCH([1]use_fish!C80,[1]activity!A:A,0)),"")</f>
        <v>黄金海龟+冰冻卡</v>
      </c>
    </row>
    <row r="81" spans="1:7">
      <c r="A81" s="3">
        <v>80</v>
      </c>
      <c r="B81" s="3">
        <v>14</v>
      </c>
      <c r="C81" s="3">
        <v>4</v>
      </c>
      <c r="D81" s="2">
        <f>LOOKUP([1]use_fish!B81,[1]base_fish!A:A,[1]base_fish!C:C)+_xlfn.IFNA(INDEX([1]activity!E:E,MATCH([1]use_fish!C81,[1]activity!A:A,0)),0)</f>
        <v>110</v>
      </c>
      <c r="E81" s="2">
        <f>1/D81</f>
        <v>9.0909090909090905E-3</v>
      </c>
      <c r="F81" s="2" t="s">
        <v>26</v>
      </c>
      <c r="G81" s="5" t="str">
        <f>INDEX([1]base_fish!E:E,MATCH([1]use_fish!B81,[1]base_fish!A:A,0))&amp;_xlfn.IFNA("+"&amp;INDEX([1]activity!F:F,MATCH([1]use_fish!C81,[1]activity!A:A,0)),"")</f>
        <v>黄金海龟+炸弹</v>
      </c>
    </row>
    <row r="82" spans="1:7">
      <c r="A82" s="3">
        <v>81</v>
      </c>
      <c r="B82" s="3">
        <v>14</v>
      </c>
      <c r="C82" s="3">
        <v>6</v>
      </c>
      <c r="D82" s="2">
        <f>LOOKUP([1]use_fish!B82,[1]base_fish!A:A,[1]base_fish!C:C)+_xlfn.IFNA(INDEX([1]activity!E:E,MATCH([1]use_fish!C82,[1]activity!A:A,0)),0)</f>
        <v>100</v>
      </c>
      <c r="E82" s="2">
        <f>1/D82</f>
        <v>0.01</v>
      </c>
      <c r="F82" s="2" t="s">
        <v>26</v>
      </c>
      <c r="G82" s="5" t="str">
        <f>INDEX([1]base_fish!E:E,MATCH([1]use_fish!B82,[1]base_fish!A:A,0))&amp;_xlfn.IFNA("+"&amp;INDEX([1]activity!F:F,MATCH([1]use_fish!C82,[1]activity!A:A,0)),"")</f>
        <v>黄金海龟+炸弹</v>
      </c>
    </row>
    <row r="83" spans="1:7">
      <c r="A83" s="3">
        <v>82</v>
      </c>
      <c r="B83" s="3">
        <v>15</v>
      </c>
      <c r="C83" s="3">
        <v>2</v>
      </c>
      <c r="D83" s="2">
        <f>LOOKUP([1]use_fish!B83,[1]base_fish!A:A,[1]base_fish!C:C)+_xlfn.IFNA(INDEX([1]activity!E:E,MATCH([1]use_fish!C83,[1]activity!A:A,0)),0)</f>
        <v>163</v>
      </c>
      <c r="E83" s="2">
        <f t="shared" ref="E83:E88" si="3">1/D83</f>
        <v>6.1349693251533744E-3</v>
      </c>
      <c r="F83" s="2" t="s">
        <v>26</v>
      </c>
      <c r="G83" s="5" t="str">
        <f>INDEX([1]base_fish!E:E,MATCH([1]use_fish!B83,[1]base_fish!A:A,0))&amp;_xlfn.IFNA("+"&amp;INDEX([1]activity!F:F,MATCH([1]use_fish!C83,[1]activity!A:A,0)),"")</f>
        <v>黄金灯笼鱼+威力提升</v>
      </c>
    </row>
    <row r="84" spans="1:7">
      <c r="A84" s="3">
        <v>83</v>
      </c>
      <c r="B84" s="3">
        <v>15</v>
      </c>
      <c r="C84" s="3">
        <v>3</v>
      </c>
      <c r="D84" s="2">
        <f>LOOKUP([1]use_fish!B84,[1]base_fish!A:A,[1]base_fish!C:C)+_xlfn.IFNA(INDEX([1]activity!E:E,MATCH([1]use_fish!C84,[1]activity!A:A,0)),0)</f>
        <v>163</v>
      </c>
      <c r="E84" s="2">
        <f t="shared" si="3"/>
        <v>6.1349693251533744E-3</v>
      </c>
      <c r="F84" s="2" t="s">
        <v>26</v>
      </c>
      <c r="G84" s="5" t="str">
        <f>INDEX([1]base_fish!E:E,MATCH([1]use_fish!B84,[1]base_fish!A:A,0))&amp;_xlfn.IFNA("+"&amp;INDEX([1]activity!F:F,MATCH([1]use_fish!C84,[1]activity!A:A,0)),"")</f>
        <v>黄金灯笼鱼+暴击时刻</v>
      </c>
    </row>
    <row r="85" spans="1:7">
      <c r="A85" s="3">
        <v>84</v>
      </c>
      <c r="B85" s="3">
        <v>15</v>
      </c>
      <c r="C85" s="3">
        <v>5</v>
      </c>
      <c r="D85" s="2">
        <f>LOOKUP([1]use_fish!B85,[1]base_fish!A:A,[1]base_fish!C:C)+_xlfn.IFNA(INDEX([1]activity!E:E,MATCH([1]use_fish!C85,[1]activity!A:A,0)),0)</f>
        <v>150</v>
      </c>
      <c r="E85" s="2">
        <f t="shared" si="3"/>
        <v>6.6666666666666671E-3</v>
      </c>
      <c r="F85" s="2" t="s">
        <v>26</v>
      </c>
      <c r="G85" s="5" t="str">
        <f>INDEX([1]base_fish!E:E,MATCH([1]use_fish!B85,[1]base_fish!A:A,0))&amp;_xlfn.IFNA("+"&amp;INDEX([1]activity!F:F,MATCH([1]use_fish!C85,[1]activity!A:A,0)),"")</f>
        <v>黄金灯笼鱼+闪电</v>
      </c>
    </row>
    <row r="86" spans="1:7">
      <c r="A86" s="3">
        <v>85</v>
      </c>
      <c r="B86" s="3">
        <v>15</v>
      </c>
      <c r="C86" s="3">
        <v>7</v>
      </c>
      <c r="D86" s="2">
        <f>LOOKUP([1]use_fish!B86,[1]base_fish!A:A,[1]base_fish!C:C)+_xlfn.IFNA(INDEX([1]activity!E:E,MATCH([1]use_fish!C86,[1]activity!A:A,0)),0)</f>
        <v>150</v>
      </c>
      <c r="E86" s="2">
        <f t="shared" si="3"/>
        <v>6.6666666666666671E-3</v>
      </c>
      <c r="F86" s="2" t="s">
        <v>26</v>
      </c>
      <c r="G86" s="5" t="str">
        <f>INDEX([1]base_fish!E:E,MATCH([1]use_fish!B86,[1]base_fish!A:A,0))&amp;_xlfn.IFNA("+"&amp;INDEX([1]activity!F:F,MATCH([1]use_fish!C86,[1]activity!A:A,0)),"")</f>
        <v>黄金灯笼鱼+免费子弹</v>
      </c>
    </row>
    <row r="87" spans="1:7">
      <c r="A87" s="3">
        <v>86</v>
      </c>
      <c r="B87" s="3">
        <v>15</v>
      </c>
      <c r="C87" s="3">
        <v>17</v>
      </c>
      <c r="D87" s="2">
        <f>LOOKUP([1]use_fish!B87,[1]base_fish!A:A,[1]base_fish!C:C)+_xlfn.IFNA(INDEX([1]activity!E:E,MATCH([1]use_fish!C87,[1]activity!A:A,0)),0)</f>
        <v>150</v>
      </c>
      <c r="E87" s="2">
        <f t="shared" si="3"/>
        <v>6.6666666666666671E-3</v>
      </c>
      <c r="F87" s="2" t="s">
        <v>26</v>
      </c>
      <c r="G87" s="5" t="str">
        <f>INDEX([1]base_fish!E:E,MATCH([1]use_fish!B87,[1]base_fish!A:A,0))&amp;_xlfn.IFNA("+"&amp;INDEX([1]activity!F:F,MATCH([1]use_fish!C87,[1]activity!A:A,0)),"")</f>
        <v>黄金灯笼鱼+贝壳</v>
      </c>
    </row>
    <row r="88" spans="1:7">
      <c r="A88" s="3">
        <v>87</v>
      </c>
      <c r="B88" s="3">
        <v>15</v>
      </c>
      <c r="C88" s="3">
        <v>12</v>
      </c>
      <c r="D88" s="2">
        <f>LOOKUP([1]use_fish!B88,[1]base_fish!A:A,[1]base_fish!C:C)+_xlfn.IFNA(INDEX([1]activity!E:E,MATCH([1]use_fish!C88,[1]activity!A:A,0)),0)</f>
        <v>100</v>
      </c>
      <c r="E88" s="2">
        <f t="shared" si="3"/>
        <v>0.01</v>
      </c>
      <c r="F88" s="2" t="s">
        <v>26</v>
      </c>
      <c r="G88" s="5" t="str">
        <f>INDEX([1]base_fish!E:E,MATCH([1]use_fish!B88,[1]base_fish!A:A,0))&amp;_xlfn.IFNA("+"&amp;INDEX([1]activity!F:F,MATCH([1]use_fish!C88,[1]activity!A:A,0)),"")</f>
        <v>黄金灯笼鱼+锁定卡</v>
      </c>
    </row>
    <row r="89" spans="1:7">
      <c r="A89" s="3">
        <v>88</v>
      </c>
      <c r="B89" s="3">
        <v>15</v>
      </c>
      <c r="C89" s="3">
        <v>13</v>
      </c>
      <c r="D89" s="2">
        <f>LOOKUP([1]use_fish!B89,[1]base_fish!A:A,[1]base_fish!C:C)+_xlfn.IFNA(INDEX([1]activity!E:E,MATCH([1]use_fish!C89,[1]activity!A:A,0)),0)</f>
        <v>100</v>
      </c>
      <c r="E89" s="2">
        <f>1/D89</f>
        <v>0.01</v>
      </c>
      <c r="F89" s="2" t="s">
        <v>26</v>
      </c>
      <c r="G89" s="5" t="str">
        <f>INDEX([1]base_fish!E:E,MATCH([1]use_fish!B89,[1]base_fish!A:A,0))&amp;_xlfn.IFNA("+"&amp;INDEX([1]activity!F:F,MATCH([1]use_fish!C89,[1]activity!A:A,0)),"")</f>
        <v>黄金灯笼鱼+冰冻卡</v>
      </c>
    </row>
    <row r="90" spans="1:7">
      <c r="A90" s="3">
        <v>89</v>
      </c>
      <c r="B90" s="3">
        <v>15</v>
      </c>
      <c r="C90" s="3">
        <v>14</v>
      </c>
      <c r="D90" s="2">
        <f>LOOKUP([1]use_fish!B90,[1]base_fish!A:A,[1]base_fish!C:C)+_xlfn.IFNA(INDEX([1]activity!E:E,MATCH([1]use_fish!C90,[1]activity!A:A,0)),0)</f>
        <v>100</v>
      </c>
      <c r="E90" s="2">
        <f>1/D90</f>
        <v>0.01</v>
      </c>
      <c r="F90" s="2" t="s">
        <v>26</v>
      </c>
      <c r="G90" s="5" t="str">
        <f>INDEX([1]base_fish!E:E,MATCH([1]use_fish!B90,[1]base_fish!A:A,0))&amp;_xlfn.IFNA("+"&amp;INDEX([1]activity!F:F,MATCH([1]use_fish!C90,[1]activity!A:A,0)),"")</f>
        <v>黄金灯笼鱼+冰冻卡</v>
      </c>
    </row>
    <row r="91" spans="1:7">
      <c r="A91" s="3">
        <v>90</v>
      </c>
      <c r="B91" s="3">
        <v>15</v>
      </c>
      <c r="C91" s="3">
        <v>4</v>
      </c>
      <c r="D91" s="2">
        <f>LOOKUP([1]use_fish!B91,[1]base_fish!A:A,[1]base_fish!C:C)+_xlfn.IFNA(INDEX([1]activity!E:E,MATCH([1]use_fish!C91,[1]activity!A:A,0)),0)</f>
        <v>130</v>
      </c>
      <c r="E91" s="2">
        <f>1/D91</f>
        <v>7.6923076923076927E-3</v>
      </c>
      <c r="F91" s="2" t="s">
        <v>26</v>
      </c>
      <c r="G91" s="5" t="str">
        <f>INDEX([1]base_fish!E:E,MATCH([1]use_fish!B91,[1]base_fish!A:A,0))&amp;_xlfn.IFNA("+"&amp;INDEX([1]activity!F:F,MATCH([1]use_fish!C91,[1]activity!A:A,0)),"")</f>
        <v>黄金灯笼鱼+炸弹</v>
      </c>
    </row>
    <row r="92" spans="1:7">
      <c r="A92" s="3">
        <v>91</v>
      </c>
      <c r="B92" s="3">
        <v>15</v>
      </c>
      <c r="C92" s="3">
        <v>6</v>
      </c>
      <c r="D92" s="2">
        <f>LOOKUP([1]use_fish!B92,[1]base_fish!A:A,[1]base_fish!C:C)+_xlfn.IFNA(INDEX([1]activity!E:E,MATCH([1]use_fish!C92,[1]activity!A:A,0)),0)</f>
        <v>120</v>
      </c>
      <c r="E92" s="2">
        <f>1/D92</f>
        <v>8.3333333333333332E-3</v>
      </c>
      <c r="F92" s="2" t="s">
        <v>26</v>
      </c>
      <c r="G92" s="5" t="str">
        <f>INDEX([1]base_fish!E:E,MATCH([1]use_fish!B92,[1]base_fish!A:A,0))&amp;_xlfn.IFNA("+"&amp;INDEX([1]activity!F:F,MATCH([1]use_fish!C92,[1]activity!A:A,0)),"")</f>
        <v>黄金灯笼鱼+炸弹</v>
      </c>
    </row>
    <row r="93" spans="1:7">
      <c r="A93" s="3">
        <v>92</v>
      </c>
      <c r="B93" s="3">
        <v>16</v>
      </c>
      <c r="C93" s="3">
        <v>2</v>
      </c>
      <c r="D93" s="2">
        <f>LOOKUP([1]use_fish!B93,[1]base_fish!A:A,[1]base_fish!C:C)+_xlfn.IFNA(INDEX([1]activity!E:E,MATCH([1]use_fish!C93,[1]activity!A:A,0)),0)</f>
        <v>183</v>
      </c>
      <c r="E93" s="2">
        <f t="shared" ref="E93:E99" si="4">1/D93</f>
        <v>5.4644808743169399E-3</v>
      </c>
      <c r="F93" s="2" t="s">
        <v>26</v>
      </c>
      <c r="G93" s="5" t="str">
        <f>INDEX([1]base_fish!E:E,MATCH([1]use_fish!B93,[1]base_fish!A:A,0))&amp;_xlfn.IFNA("+"&amp;INDEX([1]activity!F:F,MATCH([1]use_fish!C93,[1]activity!A:A,0)),"")</f>
        <v>黄金魔鬼鱼+威力提升</v>
      </c>
    </row>
    <row r="94" spans="1:7">
      <c r="A94" s="3">
        <v>93</v>
      </c>
      <c r="B94" s="3">
        <v>16</v>
      </c>
      <c r="C94" s="3">
        <v>3</v>
      </c>
      <c r="D94" s="2">
        <f>LOOKUP([1]use_fish!B94,[1]base_fish!A:A,[1]base_fish!C:C)+_xlfn.IFNA(INDEX([1]activity!E:E,MATCH([1]use_fish!C94,[1]activity!A:A,0)),0)</f>
        <v>183</v>
      </c>
      <c r="E94" s="2">
        <f t="shared" si="4"/>
        <v>5.4644808743169399E-3</v>
      </c>
      <c r="F94" s="2" t="s">
        <v>26</v>
      </c>
      <c r="G94" s="5" t="str">
        <f>INDEX([1]base_fish!E:E,MATCH([1]use_fish!B94,[1]base_fish!A:A,0))&amp;_xlfn.IFNA("+"&amp;INDEX([1]activity!F:F,MATCH([1]use_fish!C94,[1]activity!A:A,0)),"")</f>
        <v>黄金魔鬼鱼+暴击时刻</v>
      </c>
    </row>
    <row r="95" spans="1:7">
      <c r="A95" s="3">
        <v>94</v>
      </c>
      <c r="B95" s="3">
        <v>16</v>
      </c>
      <c r="C95" s="3">
        <v>5</v>
      </c>
      <c r="D95" s="2">
        <f>LOOKUP([1]use_fish!B95,[1]base_fish!A:A,[1]base_fish!C:C)+_xlfn.IFNA(INDEX([1]activity!E:E,MATCH([1]use_fish!C95,[1]activity!A:A,0)),0)</f>
        <v>170</v>
      </c>
      <c r="E95" s="2">
        <f t="shared" si="4"/>
        <v>5.8823529411764705E-3</v>
      </c>
      <c r="F95" s="2" t="s">
        <v>26</v>
      </c>
      <c r="G95" s="5" t="str">
        <f>INDEX([1]base_fish!E:E,MATCH([1]use_fish!B95,[1]base_fish!A:A,0))&amp;_xlfn.IFNA("+"&amp;INDEX([1]activity!F:F,MATCH([1]use_fish!C95,[1]activity!A:A,0)),"")</f>
        <v>黄金魔鬼鱼+闪电</v>
      </c>
    </row>
    <row r="96" spans="1:7">
      <c r="A96" s="3">
        <v>95</v>
      </c>
      <c r="B96" s="3">
        <v>16</v>
      </c>
      <c r="C96" s="3">
        <v>7</v>
      </c>
      <c r="D96" s="2">
        <f>LOOKUP([1]use_fish!B96,[1]base_fish!A:A,[1]base_fish!C:C)+_xlfn.IFNA(INDEX([1]activity!E:E,MATCH([1]use_fish!C96,[1]activity!A:A,0)),0)</f>
        <v>170</v>
      </c>
      <c r="E96" s="2">
        <f t="shared" si="4"/>
        <v>5.8823529411764705E-3</v>
      </c>
      <c r="F96" s="2" t="s">
        <v>26</v>
      </c>
      <c r="G96" s="5" t="str">
        <f>INDEX([1]base_fish!E:E,MATCH([1]use_fish!B96,[1]base_fish!A:A,0))&amp;_xlfn.IFNA("+"&amp;INDEX([1]activity!F:F,MATCH([1]use_fish!C96,[1]activity!A:A,0)),"")</f>
        <v>黄金魔鬼鱼+免费子弹</v>
      </c>
    </row>
    <row r="97" spans="1:7">
      <c r="A97" s="3">
        <v>96</v>
      </c>
      <c r="B97" s="3">
        <v>16</v>
      </c>
      <c r="C97" s="3">
        <v>10</v>
      </c>
      <c r="D97" s="2">
        <f>LOOKUP([1]use_fish!B97,[1]base_fish!A:A,[1]base_fish!C:C)+_xlfn.IFNA(INDEX([1]activity!E:E,MATCH([1]use_fish!C97,[1]activity!A:A,0)),0)</f>
        <v>170</v>
      </c>
      <c r="E97" s="2">
        <f t="shared" si="4"/>
        <v>5.8823529411764705E-3</v>
      </c>
      <c r="F97" s="2" t="s">
        <v>26</v>
      </c>
      <c r="G97" s="5" t="str">
        <f>INDEX([1]base_fish!E:E,MATCH([1]use_fish!B97,[1]base_fish!A:A,0))&amp;_xlfn.IFNA("+"&amp;INDEX([1]activity!F:F,MATCH([1]use_fish!C97,[1]activity!A:A,0)),"")</f>
        <v>黄金魔鬼鱼+闪电</v>
      </c>
    </row>
    <row r="98" spans="1:7">
      <c r="A98" s="3">
        <v>97</v>
      </c>
      <c r="B98" s="3">
        <v>16</v>
      </c>
      <c r="C98" s="3">
        <v>11</v>
      </c>
      <c r="D98" s="2">
        <f>LOOKUP([1]use_fish!B98,[1]base_fish!A:A,[1]base_fish!C:C)+_xlfn.IFNA(INDEX([1]activity!E:E,MATCH([1]use_fish!C98,[1]activity!A:A,0)),0)</f>
        <v>120</v>
      </c>
      <c r="E98" s="2">
        <f t="shared" si="4"/>
        <v>8.3333333333333332E-3</v>
      </c>
      <c r="F98" s="2" t="s">
        <v>26</v>
      </c>
      <c r="G98" s="5" t="str">
        <f>INDEX([1]base_fish!E:E,MATCH([1]use_fish!B98,[1]base_fish!A:A,0))&amp;_xlfn.IFNA("+"&amp;INDEX([1]activity!F:F,MATCH([1]use_fish!C98,[1]activity!A:A,0)),"")</f>
        <v>黄金魔鬼鱼+锁定卡</v>
      </c>
    </row>
    <row r="99" spans="1:7">
      <c r="A99" s="3">
        <v>98</v>
      </c>
      <c r="B99" s="3">
        <v>16</v>
      </c>
      <c r="C99" s="3">
        <v>12</v>
      </c>
      <c r="D99" s="2">
        <f>LOOKUP([1]use_fish!B99,[1]base_fish!A:A,[1]base_fish!C:C)+_xlfn.IFNA(INDEX([1]activity!E:E,MATCH([1]use_fish!C99,[1]activity!A:A,0)),0)</f>
        <v>120</v>
      </c>
      <c r="E99" s="2">
        <f t="shared" si="4"/>
        <v>8.3333333333333332E-3</v>
      </c>
      <c r="F99" s="2" t="s">
        <v>26</v>
      </c>
      <c r="G99" s="5" t="str">
        <f>INDEX([1]base_fish!E:E,MATCH([1]use_fish!B99,[1]base_fish!A:A,0))&amp;_xlfn.IFNA("+"&amp;INDEX([1]activity!F:F,MATCH([1]use_fish!C99,[1]activity!A:A,0)),"")</f>
        <v>黄金魔鬼鱼+锁定卡</v>
      </c>
    </row>
    <row r="100" spans="1:7">
      <c r="A100" s="3">
        <v>99</v>
      </c>
      <c r="B100" s="3">
        <v>16</v>
      </c>
      <c r="C100" s="3">
        <v>14</v>
      </c>
      <c r="D100" s="2">
        <f>LOOKUP([1]use_fish!B100,[1]base_fish!A:A,[1]base_fish!C:C)+_xlfn.IFNA(INDEX([1]activity!E:E,MATCH([1]use_fish!C100,[1]activity!A:A,0)),0)</f>
        <v>120</v>
      </c>
      <c r="E100" s="2">
        <f>1/D100</f>
        <v>8.3333333333333332E-3</v>
      </c>
      <c r="F100" s="2" t="s">
        <v>26</v>
      </c>
      <c r="G100" s="5" t="str">
        <f>INDEX([1]base_fish!E:E,MATCH([1]use_fish!B100,[1]base_fish!A:A,0))&amp;_xlfn.IFNA("+"&amp;INDEX([1]activity!F:F,MATCH([1]use_fish!C100,[1]activity!A:A,0)),"")</f>
        <v>黄金魔鬼鱼+冰冻卡</v>
      </c>
    </row>
    <row r="101" spans="1:7">
      <c r="A101" s="3">
        <v>100</v>
      </c>
      <c r="B101" s="3">
        <v>16</v>
      </c>
      <c r="C101" s="3">
        <v>4</v>
      </c>
      <c r="D101" s="2">
        <f>LOOKUP([1]use_fish!B101,[1]base_fish!A:A,[1]base_fish!C:C)+_xlfn.IFNA(INDEX([1]activity!E:E,MATCH([1]use_fish!C101,[1]activity!A:A,0)),0)</f>
        <v>150</v>
      </c>
      <c r="E101" s="2">
        <f>1/D101</f>
        <v>6.6666666666666671E-3</v>
      </c>
      <c r="F101" s="2" t="s">
        <v>26</v>
      </c>
      <c r="G101" s="5" t="str">
        <f>INDEX([1]base_fish!E:E,MATCH([1]use_fish!B101,[1]base_fish!A:A,0))&amp;_xlfn.IFNA("+"&amp;INDEX([1]activity!F:F,MATCH([1]use_fish!C101,[1]activity!A:A,0)),"")</f>
        <v>黄金魔鬼鱼+炸弹</v>
      </c>
    </row>
    <row r="102" spans="1:7">
      <c r="A102" s="3">
        <v>101</v>
      </c>
      <c r="B102" s="3">
        <v>16</v>
      </c>
      <c r="C102" s="3">
        <v>6</v>
      </c>
      <c r="D102" s="2">
        <f>LOOKUP([1]use_fish!B102,[1]base_fish!A:A,[1]base_fish!C:C)+_xlfn.IFNA(INDEX([1]activity!E:E,MATCH([1]use_fish!C102,[1]activity!A:A,0)),0)</f>
        <v>140</v>
      </c>
      <c r="E102" s="2">
        <f>1/D102</f>
        <v>7.1428571428571426E-3</v>
      </c>
      <c r="F102" s="2" t="s">
        <v>26</v>
      </c>
      <c r="G102" s="5" t="str">
        <f>INDEX([1]base_fish!E:E,MATCH([1]use_fish!B102,[1]base_fish!A:A,0))&amp;_xlfn.IFNA("+"&amp;INDEX([1]activity!F:F,MATCH([1]use_fish!C102,[1]activity!A:A,0)),"")</f>
        <v>黄金魔鬼鱼+炸弹</v>
      </c>
    </row>
    <row r="103" spans="1:7">
      <c r="A103" s="3">
        <v>102</v>
      </c>
      <c r="B103" s="3">
        <v>8</v>
      </c>
      <c r="C103" s="3">
        <v>15</v>
      </c>
      <c r="D103" s="2">
        <f>LOOKUP([1]use_fish!B103,[1]base_fish!A:A,[1]base_fish!C:C)+_xlfn.IFNA(INDEX([1]activity!E:E,MATCH([1]use_fish!C103,[1]activity!A:A,0)),0)</f>
        <v>50</v>
      </c>
      <c r="E103" s="2">
        <f t="shared" ref="E103:E122" si="5">1/D103</f>
        <v>0.02</v>
      </c>
      <c r="F103" s="2" t="s">
        <v>26</v>
      </c>
      <c r="G103" s="5" t="str">
        <f>INDEX([1]base_fish!E:E,MATCH([1]use_fish!B103,[1]base_fish!A:A,0))&amp;_xlfn.IFNA("+"&amp;INDEX([1]activity!F:F,MATCH([1]use_fish!C103,[1]activity!A:A,0)),"")</f>
        <v>海龟+粽子</v>
      </c>
    </row>
    <row r="104" spans="1:7">
      <c r="A104" s="3">
        <v>103</v>
      </c>
      <c r="B104" s="3">
        <v>9</v>
      </c>
      <c r="C104" s="3">
        <v>15</v>
      </c>
      <c r="D104" s="2">
        <f>LOOKUP([1]use_fish!B104,[1]base_fish!A:A,[1]base_fish!C:C)+_xlfn.IFNA(INDEX([1]activity!E:E,MATCH([1]use_fish!C104,[1]activity!A:A,0)),0)</f>
        <v>60</v>
      </c>
      <c r="E104" s="2">
        <f t="shared" si="5"/>
        <v>1.6666666666666666E-2</v>
      </c>
      <c r="F104" s="2" t="s">
        <v>26</v>
      </c>
      <c r="G104" s="5" t="str">
        <f>INDEX([1]base_fish!E:E,MATCH([1]use_fish!B104,[1]base_fish!A:A,0))&amp;_xlfn.IFNA("+"&amp;INDEX([1]activity!F:F,MATCH([1]use_fish!C104,[1]activity!A:A,0)),"")</f>
        <v>灯笼鱼+粽子</v>
      </c>
    </row>
    <row r="105" spans="1:7">
      <c r="A105" s="3">
        <v>104</v>
      </c>
      <c r="B105" s="3">
        <v>10</v>
      </c>
      <c r="C105" s="3">
        <v>15</v>
      </c>
      <c r="D105" s="2">
        <f>LOOKUP([1]use_fish!B105,[1]base_fish!A:A,[1]base_fish!C:C)+_xlfn.IFNA(INDEX([1]activity!E:E,MATCH([1]use_fish!C105,[1]activity!A:A,0)),0)</f>
        <v>70</v>
      </c>
      <c r="E105" s="2">
        <f t="shared" si="5"/>
        <v>1.4285714285714285E-2</v>
      </c>
      <c r="F105" s="2" t="s">
        <v>26</v>
      </c>
      <c r="G105" s="5" t="str">
        <f>INDEX([1]base_fish!E:E,MATCH([1]use_fish!B105,[1]base_fish!A:A,0))&amp;_xlfn.IFNA("+"&amp;INDEX([1]activity!F:F,MATCH([1]use_fish!C105,[1]activity!A:A,0)),"")</f>
        <v>魔鬼鱼+粽子</v>
      </c>
    </row>
    <row r="106" spans="1:7">
      <c r="A106" s="3">
        <v>105</v>
      </c>
      <c r="B106" s="3">
        <v>11</v>
      </c>
      <c r="C106" s="3">
        <v>15</v>
      </c>
      <c r="D106" s="2">
        <f>LOOKUP([1]use_fish!B106,[1]base_fish!A:A,[1]base_fish!C:C)+_xlfn.IFNA(INDEX([1]activity!E:E,MATCH([1]use_fish!C106,[1]activity!A:A,0)),0)</f>
        <v>80</v>
      </c>
      <c r="E106" s="2">
        <f t="shared" si="5"/>
        <v>1.2500000000000001E-2</v>
      </c>
      <c r="F106" s="2" t="s">
        <v>26</v>
      </c>
      <c r="G106" s="5" t="str">
        <f>INDEX([1]base_fish!E:E,MATCH([1]use_fish!B106,[1]base_fish!A:A,0))&amp;_xlfn.IFNA("+"&amp;INDEX([1]activity!F:F,MATCH([1]use_fish!C106,[1]activity!A:A,0)),"")</f>
        <v>大白鲨+粽子</v>
      </c>
    </row>
    <row r="107" spans="1:7">
      <c r="A107" s="3">
        <v>106</v>
      </c>
      <c r="B107" s="3">
        <v>12</v>
      </c>
      <c r="C107" s="3">
        <v>15</v>
      </c>
      <c r="D107" s="2">
        <f>LOOKUP([1]use_fish!B107,[1]base_fish!A:A,[1]base_fish!C:C)+_xlfn.IFNA(INDEX([1]activity!E:E,MATCH([1]use_fish!C107,[1]activity!A:A,0)),0)</f>
        <v>110</v>
      </c>
      <c r="E107" s="2">
        <f t="shared" si="5"/>
        <v>9.0909090909090905E-3</v>
      </c>
      <c r="F107" s="2" t="s">
        <v>26</v>
      </c>
      <c r="G107" s="5" t="str">
        <f>INDEX([1]base_fish!E:E,MATCH([1]use_fish!B107,[1]base_fish!A:A,0))&amp;_xlfn.IFNA("+"&amp;INDEX([1]activity!F:F,MATCH([1]use_fish!C107,[1]activity!A:A,0)),"")</f>
        <v>锤头鲨+粽子</v>
      </c>
    </row>
    <row r="108" spans="1:7">
      <c r="A108" s="3">
        <v>107</v>
      </c>
      <c r="B108" s="3">
        <v>14</v>
      </c>
      <c r="C108" s="3">
        <v>15</v>
      </c>
      <c r="D108" s="2">
        <f>LOOKUP([1]use_fish!B108,[1]base_fish!A:A,[1]base_fish!C:C)+_xlfn.IFNA(INDEX([1]activity!E:E,MATCH([1]use_fish!C108,[1]activity!A:A,0)),0)</f>
        <v>90</v>
      </c>
      <c r="E108" s="2">
        <f t="shared" si="5"/>
        <v>1.1111111111111112E-2</v>
      </c>
      <c r="F108" s="2" t="s">
        <v>26</v>
      </c>
      <c r="G108" s="5" t="str">
        <f>INDEX([1]base_fish!E:E,MATCH([1]use_fish!B108,[1]base_fish!A:A,0))&amp;_xlfn.IFNA("+"&amp;INDEX([1]activity!F:F,MATCH([1]use_fish!C108,[1]activity!A:A,0)),"")</f>
        <v>黄金海龟+粽子</v>
      </c>
    </row>
    <row r="109" spans="1:7">
      <c r="A109" s="3">
        <v>108</v>
      </c>
      <c r="B109" s="3">
        <v>15</v>
      </c>
      <c r="C109" s="3">
        <v>15</v>
      </c>
      <c r="D109" s="2">
        <f>LOOKUP([1]use_fish!B109,[1]base_fish!A:A,[1]base_fish!C:C)+_xlfn.IFNA(INDEX([1]activity!E:E,MATCH([1]use_fish!C109,[1]activity!A:A,0)),0)</f>
        <v>110</v>
      </c>
      <c r="E109" s="2">
        <f t="shared" si="5"/>
        <v>9.0909090909090905E-3</v>
      </c>
      <c r="F109" s="2" t="s">
        <v>26</v>
      </c>
      <c r="G109" s="5" t="str">
        <f>INDEX([1]base_fish!E:E,MATCH([1]use_fish!B109,[1]base_fish!A:A,0))&amp;_xlfn.IFNA("+"&amp;INDEX([1]activity!F:F,MATCH([1]use_fish!C109,[1]activity!A:A,0)),"")</f>
        <v>黄金灯笼鱼+粽子</v>
      </c>
    </row>
    <row r="110" spans="1:7">
      <c r="A110" s="3">
        <v>109</v>
      </c>
      <c r="B110" s="3">
        <v>16</v>
      </c>
      <c r="C110" s="3">
        <v>15</v>
      </c>
      <c r="D110" s="2">
        <f>LOOKUP([1]use_fish!B110,[1]base_fish!A:A,[1]base_fish!C:C)+_xlfn.IFNA(INDEX([1]activity!E:E,MATCH([1]use_fish!C110,[1]activity!A:A,0)),0)</f>
        <v>130</v>
      </c>
      <c r="E110" s="2">
        <f t="shared" si="5"/>
        <v>7.6923076923076927E-3</v>
      </c>
      <c r="F110" s="2" t="s">
        <v>26</v>
      </c>
      <c r="G110" s="5" t="str">
        <f>INDEX([1]base_fish!E:E,MATCH([1]use_fish!B110,[1]base_fish!A:A,0))&amp;_xlfn.IFNA("+"&amp;INDEX([1]activity!F:F,MATCH([1]use_fish!C110,[1]activity!A:A,0)),"")</f>
        <v>黄金魔鬼鱼+粽子</v>
      </c>
    </row>
    <row r="111" spans="1:7">
      <c r="A111" s="3">
        <v>110</v>
      </c>
      <c r="B111" s="3">
        <v>8</v>
      </c>
      <c r="C111" s="3">
        <v>16</v>
      </c>
      <c r="D111" s="2">
        <f>LOOKUP([1]use_fish!B111,[1]base_fish!A:A,[1]base_fish!C:C)+_xlfn.IFNA(INDEX([1]activity!E:E,MATCH([1]use_fish!C111,[1]activity!A:A,0)),0)</f>
        <v>50</v>
      </c>
      <c r="E111" s="2">
        <f t="shared" si="5"/>
        <v>0.02</v>
      </c>
      <c r="F111" s="2" t="s">
        <v>26</v>
      </c>
      <c r="G111" s="5" t="str">
        <f>INDEX([1]base_fish!E:E,MATCH([1]use_fish!B111,[1]base_fish!A:A,0))&amp;_xlfn.IFNA("+"&amp;INDEX([1]activity!F:F,MATCH([1]use_fish!C111,[1]activity!A:A,0)),"")</f>
        <v>海龟+粽子</v>
      </c>
    </row>
    <row r="112" spans="1:7">
      <c r="A112" s="3">
        <v>111</v>
      </c>
      <c r="B112" s="3">
        <v>9</v>
      </c>
      <c r="C112" s="3">
        <v>16</v>
      </c>
      <c r="D112" s="2">
        <f>LOOKUP([1]use_fish!B112,[1]base_fish!A:A,[1]base_fish!C:C)+_xlfn.IFNA(INDEX([1]activity!E:E,MATCH([1]use_fish!C112,[1]activity!A:A,0)),0)</f>
        <v>60</v>
      </c>
      <c r="E112" s="2">
        <f t="shared" si="5"/>
        <v>1.6666666666666666E-2</v>
      </c>
      <c r="F112" s="2" t="s">
        <v>26</v>
      </c>
      <c r="G112" s="5" t="str">
        <f>INDEX([1]base_fish!E:E,MATCH([1]use_fish!B112,[1]base_fish!A:A,0))&amp;_xlfn.IFNA("+"&amp;INDEX([1]activity!F:F,MATCH([1]use_fish!C112,[1]activity!A:A,0)),"")</f>
        <v>灯笼鱼+粽子</v>
      </c>
    </row>
    <row r="113" spans="1:7">
      <c r="A113" s="3">
        <v>112</v>
      </c>
      <c r="B113" s="3">
        <v>10</v>
      </c>
      <c r="C113" s="3">
        <v>16</v>
      </c>
      <c r="D113" s="2">
        <f>LOOKUP([1]use_fish!B113,[1]base_fish!A:A,[1]base_fish!C:C)+_xlfn.IFNA(INDEX([1]activity!E:E,MATCH([1]use_fish!C113,[1]activity!A:A,0)),0)</f>
        <v>70</v>
      </c>
      <c r="E113" s="2">
        <f t="shared" si="5"/>
        <v>1.4285714285714285E-2</v>
      </c>
      <c r="F113" s="2" t="s">
        <v>26</v>
      </c>
      <c r="G113" s="5" t="str">
        <f>INDEX([1]base_fish!E:E,MATCH([1]use_fish!B113,[1]base_fish!A:A,0))&amp;_xlfn.IFNA("+"&amp;INDEX([1]activity!F:F,MATCH([1]use_fish!C113,[1]activity!A:A,0)),"")</f>
        <v>魔鬼鱼+粽子</v>
      </c>
    </row>
    <row r="114" spans="1:7">
      <c r="A114" s="3">
        <v>113</v>
      </c>
      <c r="B114" s="3">
        <v>11</v>
      </c>
      <c r="C114" s="3">
        <v>16</v>
      </c>
      <c r="D114" s="2">
        <f>LOOKUP([1]use_fish!B114,[1]base_fish!A:A,[1]base_fish!C:C)+_xlfn.IFNA(INDEX([1]activity!E:E,MATCH([1]use_fish!C114,[1]activity!A:A,0)),0)</f>
        <v>80</v>
      </c>
      <c r="E114" s="2">
        <f t="shared" si="5"/>
        <v>1.2500000000000001E-2</v>
      </c>
      <c r="F114" s="2" t="s">
        <v>26</v>
      </c>
      <c r="G114" s="5" t="str">
        <f>INDEX([1]base_fish!E:E,MATCH([1]use_fish!B114,[1]base_fish!A:A,0))&amp;_xlfn.IFNA("+"&amp;INDEX([1]activity!F:F,MATCH([1]use_fish!C114,[1]activity!A:A,0)),"")</f>
        <v>大白鲨+粽子</v>
      </c>
    </row>
    <row r="115" spans="1:7">
      <c r="A115" s="3">
        <v>114</v>
      </c>
      <c r="B115" s="3">
        <v>12</v>
      </c>
      <c r="C115" s="3">
        <v>16</v>
      </c>
      <c r="D115" s="2">
        <f>LOOKUP([1]use_fish!B115,[1]base_fish!A:A,[1]base_fish!C:C)+_xlfn.IFNA(INDEX([1]activity!E:E,MATCH([1]use_fish!C115,[1]activity!A:A,0)),0)</f>
        <v>110</v>
      </c>
      <c r="E115" s="2">
        <f t="shared" si="5"/>
        <v>9.0909090909090905E-3</v>
      </c>
      <c r="F115" s="2" t="s">
        <v>26</v>
      </c>
      <c r="G115" s="5" t="str">
        <f>INDEX([1]base_fish!E:E,MATCH([1]use_fish!B115,[1]base_fish!A:A,0))&amp;_xlfn.IFNA("+"&amp;INDEX([1]activity!F:F,MATCH([1]use_fish!C115,[1]activity!A:A,0)),"")</f>
        <v>锤头鲨+粽子</v>
      </c>
    </row>
    <row r="116" spans="1:7">
      <c r="A116" s="3">
        <v>115</v>
      </c>
      <c r="B116" s="3">
        <v>14</v>
      </c>
      <c r="C116" s="3">
        <v>16</v>
      </c>
      <c r="D116" s="2">
        <f>LOOKUP([1]use_fish!B116,[1]base_fish!A:A,[1]base_fish!C:C)+_xlfn.IFNA(INDEX([1]activity!E:E,MATCH([1]use_fish!C116,[1]activity!A:A,0)),0)</f>
        <v>90</v>
      </c>
      <c r="E116" s="2">
        <f t="shared" si="5"/>
        <v>1.1111111111111112E-2</v>
      </c>
      <c r="F116" s="2" t="s">
        <v>26</v>
      </c>
      <c r="G116" s="5" t="str">
        <f>INDEX([1]base_fish!E:E,MATCH([1]use_fish!B116,[1]base_fish!A:A,0))&amp;_xlfn.IFNA("+"&amp;INDEX([1]activity!F:F,MATCH([1]use_fish!C116,[1]activity!A:A,0)),"")</f>
        <v>黄金海龟+粽子</v>
      </c>
    </row>
    <row r="117" spans="1:7">
      <c r="A117" s="3">
        <v>116</v>
      </c>
      <c r="B117" s="3">
        <v>15</v>
      </c>
      <c r="C117" s="3">
        <v>16</v>
      </c>
      <c r="D117" s="2">
        <f>LOOKUP([1]use_fish!B117,[1]base_fish!A:A,[1]base_fish!C:C)+_xlfn.IFNA(INDEX([1]activity!E:E,MATCH([1]use_fish!C117,[1]activity!A:A,0)),0)</f>
        <v>110</v>
      </c>
      <c r="E117" s="2">
        <f t="shared" si="5"/>
        <v>9.0909090909090905E-3</v>
      </c>
      <c r="F117" s="2" t="s">
        <v>26</v>
      </c>
      <c r="G117" s="5" t="str">
        <f>INDEX([1]base_fish!E:E,MATCH([1]use_fish!B117,[1]base_fish!A:A,0))&amp;_xlfn.IFNA("+"&amp;INDEX([1]activity!F:F,MATCH([1]use_fish!C117,[1]activity!A:A,0)),"")</f>
        <v>黄金灯笼鱼+粽子</v>
      </c>
    </row>
    <row r="118" spans="1:7">
      <c r="A118" s="3">
        <v>117</v>
      </c>
      <c r="B118" s="3">
        <v>16</v>
      </c>
      <c r="C118" s="3">
        <v>16</v>
      </c>
      <c r="D118" s="2">
        <f>LOOKUP([1]use_fish!B118,[1]base_fish!A:A,[1]base_fish!C:C)+_xlfn.IFNA(INDEX([1]activity!E:E,MATCH([1]use_fish!C118,[1]activity!A:A,0)),0)</f>
        <v>130</v>
      </c>
      <c r="E118" s="2">
        <f t="shared" si="5"/>
        <v>7.6923076923076927E-3</v>
      </c>
      <c r="F118" s="2" t="s">
        <v>26</v>
      </c>
      <c r="G118" s="5" t="str">
        <f>INDEX([1]base_fish!E:E,MATCH([1]use_fish!B118,[1]base_fish!A:A,0))&amp;_xlfn.IFNA("+"&amp;INDEX([1]activity!F:F,MATCH([1]use_fish!C118,[1]activity!A:A,0)),"")</f>
        <v>黄金魔鬼鱼+粽子</v>
      </c>
    </row>
    <row r="119" spans="1:7">
      <c r="A119" s="3">
        <v>118</v>
      </c>
      <c r="B119" s="3">
        <v>19</v>
      </c>
      <c r="D119">
        <v>450</v>
      </c>
      <c r="E119" s="2">
        <f t="shared" si="5"/>
        <v>2.2222222222222222E-3</v>
      </c>
      <c r="F119" s="2" t="s">
        <v>26</v>
      </c>
      <c r="G119" s="5" t="str">
        <f>INDEX([1]base_fish!E:E,MATCH([1]use_fish!B119,[1]base_fish!A:A,0))&amp;_xlfn.IFNA("+"&amp;INDEX([1]activity!F:F,MATCH([1]use_fish!C119,[1]activity!A:A,0)),"")</f>
        <v>宝箱鱼</v>
      </c>
    </row>
    <row r="120" spans="1:7">
      <c r="A120" s="3">
        <v>119</v>
      </c>
      <c r="B120" s="3">
        <v>19</v>
      </c>
      <c r="D120">
        <v>450</v>
      </c>
      <c r="E120" s="2">
        <f t="shared" si="5"/>
        <v>2.2222222222222222E-3</v>
      </c>
      <c r="F120" s="2" t="s">
        <v>26</v>
      </c>
      <c r="G120" s="5" t="str">
        <f>INDEX([1]base_fish!E:E,MATCH([1]use_fish!B120,[1]base_fish!A:A,0))&amp;_xlfn.IFNA("+"&amp;INDEX([1]activity!F:F,MATCH([1]use_fish!C120,[1]activity!A:A,0)),"")</f>
        <v>宝箱鱼</v>
      </c>
    </row>
    <row r="121" spans="1:7">
      <c r="A121" s="3">
        <v>120</v>
      </c>
      <c r="B121" s="3">
        <v>19</v>
      </c>
      <c r="D121">
        <v>450</v>
      </c>
      <c r="E121" s="2">
        <f t="shared" si="5"/>
        <v>2.2222222222222222E-3</v>
      </c>
      <c r="F121" s="2" t="s">
        <v>26</v>
      </c>
      <c r="G121" s="5" t="str">
        <f>INDEX([1]base_fish!E:E,MATCH([1]use_fish!B121,[1]base_fish!A:A,0))&amp;_xlfn.IFNA("+"&amp;INDEX([1]activity!F:F,MATCH([1]use_fish!C121,[1]activity!A:A,0)),"")</f>
        <v>宝箱鱼</v>
      </c>
    </row>
    <row r="122" spans="1:7">
      <c r="A122" s="3">
        <v>121</v>
      </c>
      <c r="B122" s="3">
        <v>20</v>
      </c>
      <c r="C122" s="3"/>
      <c r="D122" s="2">
        <f>LOOKUP([2]use_fish!B122,[2]base_fish!A:A,[2]base_fish!C:C)+_xlfn.IFNA(INDEX([2]activity!E:E,MATCH([2]use_fish!C122,[2]activity!A:A,0)),0)</f>
        <v>500</v>
      </c>
      <c r="E122" s="2">
        <f t="shared" si="5"/>
        <v>2E-3</v>
      </c>
      <c r="F122" s="2" t="s">
        <v>26</v>
      </c>
      <c r="G122" s="5" t="str">
        <f>INDEX([2]base_fish!E:E,MATCH([2]use_fish!B122,[2]base_fish!A:A,0))&amp;_xlfn.IFNA("+"&amp;INDEX([2]activity!F:F,MATCH([2]use_fish!C122,[2]activity!A:A,0)),"")</f>
        <v>黄金龙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J18"/>
  <sheetViews>
    <sheetView workbookViewId="0">
      <selection activeCell="E25" sqref="E25"/>
    </sheetView>
  </sheetViews>
  <sheetFormatPr baseColWidth="10" defaultColWidth="8.6640625" defaultRowHeight="15"/>
  <cols>
    <col min="2" max="2" width="13" customWidth="1"/>
    <col min="3" max="3" width="11.33203125" customWidth="1"/>
    <col min="4" max="4" width="16.1640625" customWidth="1"/>
    <col min="5" max="6" width="15.1640625" customWidth="1"/>
    <col min="10" max="10" width="12.1640625" customWidth="1"/>
  </cols>
  <sheetData>
    <row r="1" spans="1:10" s="1" customFormat="1" ht="48.75" customHeight="1">
      <c r="A1" s="1" t="s">
        <v>4</v>
      </c>
      <c r="B1" s="1" t="s">
        <v>5</v>
      </c>
      <c r="C1" s="1" t="s">
        <v>6</v>
      </c>
      <c r="D1" s="1" t="s">
        <v>7</v>
      </c>
      <c r="E1" s="1" t="s">
        <v>36</v>
      </c>
      <c r="F1" s="1" t="s">
        <v>51</v>
      </c>
      <c r="G1" s="1" t="s">
        <v>3</v>
      </c>
      <c r="H1" s="1" t="s">
        <v>3</v>
      </c>
      <c r="J1" s="1" t="s">
        <v>181</v>
      </c>
    </row>
    <row r="2" spans="1:10">
      <c r="A2">
        <v>1</v>
      </c>
      <c r="B2">
        <v>1</v>
      </c>
      <c r="C2" t="s">
        <v>210</v>
      </c>
      <c r="D2" s="2">
        <v>0</v>
      </c>
      <c r="E2">
        <v>63</v>
      </c>
      <c r="F2" t="str">
        <f>LOOKUP(B2,G:G,H:H)</f>
        <v>免费子弹</v>
      </c>
      <c r="G2">
        <v>1</v>
      </c>
      <c r="H2" t="s">
        <v>52</v>
      </c>
      <c r="J2" t="s">
        <v>182</v>
      </c>
    </row>
    <row r="3" spans="1:10">
      <c r="A3">
        <v>2</v>
      </c>
      <c r="B3">
        <v>2</v>
      </c>
      <c r="C3" t="s">
        <v>220</v>
      </c>
      <c r="D3" s="2">
        <v>0</v>
      </c>
      <c r="E3">
        <v>63</v>
      </c>
      <c r="F3" t="str">
        <f t="shared" ref="F3:F18" si="0">LOOKUP(B3,G:G,H:H)</f>
        <v>威力提升</v>
      </c>
      <c r="G3">
        <v>2</v>
      </c>
      <c r="H3" t="s">
        <v>53</v>
      </c>
    </row>
    <row r="4" spans="1:10">
      <c r="A4">
        <v>3</v>
      </c>
      <c r="B4">
        <v>3</v>
      </c>
      <c r="C4" t="s">
        <v>220</v>
      </c>
      <c r="D4" s="2">
        <v>0</v>
      </c>
      <c r="E4">
        <v>63</v>
      </c>
      <c r="F4" t="str">
        <f t="shared" si="0"/>
        <v>暴击时刻</v>
      </c>
      <c r="G4">
        <v>3</v>
      </c>
      <c r="H4" t="s">
        <v>54</v>
      </c>
    </row>
    <row r="5" spans="1:10">
      <c r="A5">
        <v>4</v>
      </c>
      <c r="B5">
        <v>4</v>
      </c>
      <c r="C5" t="s">
        <v>169</v>
      </c>
      <c r="D5" s="4">
        <v>1</v>
      </c>
      <c r="E5">
        <v>30</v>
      </c>
      <c r="F5" t="str">
        <f t="shared" si="0"/>
        <v>炸弹</v>
      </c>
      <c r="G5">
        <v>4</v>
      </c>
      <c r="H5" t="s">
        <v>55</v>
      </c>
    </row>
    <row r="6" spans="1:10">
      <c r="A6">
        <v>5</v>
      </c>
      <c r="B6">
        <v>5</v>
      </c>
      <c r="C6" t="s">
        <v>170</v>
      </c>
      <c r="D6" s="4">
        <v>1</v>
      </c>
      <c r="E6">
        <v>50</v>
      </c>
      <c r="F6" t="str">
        <f t="shared" si="0"/>
        <v>闪电</v>
      </c>
      <c r="G6">
        <v>5</v>
      </c>
      <c r="H6" t="s">
        <v>56</v>
      </c>
    </row>
    <row r="7" spans="1:10">
      <c r="A7">
        <v>6</v>
      </c>
      <c r="B7">
        <v>4</v>
      </c>
      <c r="C7" t="s">
        <v>171</v>
      </c>
      <c r="D7" s="4">
        <v>0</v>
      </c>
      <c r="E7">
        <v>20</v>
      </c>
      <c r="F7" t="str">
        <f t="shared" si="0"/>
        <v>炸弹</v>
      </c>
      <c r="G7">
        <v>6</v>
      </c>
      <c r="H7" t="s">
        <v>57</v>
      </c>
    </row>
    <row r="8" spans="1:10">
      <c r="A8">
        <v>7</v>
      </c>
      <c r="B8">
        <v>1</v>
      </c>
      <c r="C8" t="s">
        <v>168</v>
      </c>
      <c r="D8" s="4">
        <v>0</v>
      </c>
      <c r="E8">
        <v>50</v>
      </c>
      <c r="F8" t="str">
        <f t="shared" si="0"/>
        <v>免费子弹</v>
      </c>
      <c r="G8">
        <v>7</v>
      </c>
      <c r="H8" t="s">
        <v>58</v>
      </c>
    </row>
    <row r="9" spans="1:10">
      <c r="A9">
        <v>8</v>
      </c>
      <c r="B9">
        <v>4</v>
      </c>
      <c r="C9" t="s">
        <v>211</v>
      </c>
      <c r="D9" s="4">
        <v>0</v>
      </c>
      <c r="E9">
        <v>63</v>
      </c>
      <c r="F9" t="str">
        <f t="shared" si="0"/>
        <v>炸弹</v>
      </c>
      <c r="G9">
        <v>8</v>
      </c>
      <c r="H9" t="s">
        <v>59</v>
      </c>
    </row>
    <row r="10" spans="1:10">
      <c r="A10">
        <v>9</v>
      </c>
      <c r="B10">
        <v>5</v>
      </c>
      <c r="C10" t="s">
        <v>212</v>
      </c>
      <c r="D10" s="4">
        <v>0</v>
      </c>
      <c r="E10">
        <v>63</v>
      </c>
      <c r="F10" t="str">
        <f t="shared" si="0"/>
        <v>闪电</v>
      </c>
      <c r="G10">
        <v>9</v>
      </c>
      <c r="H10" t="s">
        <v>291</v>
      </c>
    </row>
    <row r="11" spans="1:10">
      <c r="A11">
        <v>10</v>
      </c>
      <c r="B11">
        <v>5</v>
      </c>
      <c r="C11" t="s">
        <v>172</v>
      </c>
      <c r="D11" s="4">
        <v>0</v>
      </c>
      <c r="E11">
        <v>50</v>
      </c>
      <c r="F11" t="str">
        <f t="shared" si="0"/>
        <v>闪电</v>
      </c>
      <c r="G11">
        <v>10</v>
      </c>
      <c r="H11" t="s">
        <v>292</v>
      </c>
    </row>
    <row r="12" spans="1:10">
      <c r="A12">
        <v>11</v>
      </c>
      <c r="B12">
        <v>7</v>
      </c>
      <c r="C12" t="s">
        <v>50</v>
      </c>
      <c r="D12" s="4">
        <v>1</v>
      </c>
      <c r="E12">
        <v>0</v>
      </c>
      <c r="F12" t="str">
        <f t="shared" si="0"/>
        <v>锁定卡</v>
      </c>
    </row>
    <row r="13" spans="1:10">
      <c r="A13">
        <v>12</v>
      </c>
      <c r="B13">
        <v>7</v>
      </c>
      <c r="C13" t="s">
        <v>60</v>
      </c>
      <c r="D13" s="4">
        <v>0</v>
      </c>
      <c r="E13">
        <v>0</v>
      </c>
      <c r="F13" t="str">
        <f t="shared" si="0"/>
        <v>锁定卡</v>
      </c>
    </row>
    <row r="14" spans="1:10">
      <c r="A14">
        <v>13</v>
      </c>
      <c r="B14">
        <v>8</v>
      </c>
      <c r="C14" t="s">
        <v>46</v>
      </c>
      <c r="D14" s="4">
        <v>1</v>
      </c>
      <c r="E14">
        <v>0</v>
      </c>
      <c r="F14" t="str">
        <f t="shared" si="0"/>
        <v>冰冻卡</v>
      </c>
    </row>
    <row r="15" spans="1:10">
      <c r="A15">
        <v>14</v>
      </c>
      <c r="B15">
        <v>8</v>
      </c>
      <c r="C15" t="s">
        <v>60</v>
      </c>
      <c r="D15" s="4">
        <v>0</v>
      </c>
      <c r="E15">
        <v>0</v>
      </c>
      <c r="F15" t="str">
        <f t="shared" si="0"/>
        <v>冰冻卡</v>
      </c>
    </row>
    <row r="16" spans="1:10">
      <c r="A16">
        <v>15</v>
      </c>
      <c r="B16">
        <v>9</v>
      </c>
      <c r="C16" t="s">
        <v>236</v>
      </c>
      <c r="D16" s="4">
        <v>1</v>
      </c>
      <c r="E16">
        <v>10</v>
      </c>
      <c r="F16" t="str">
        <f t="shared" si="0"/>
        <v>粽子</v>
      </c>
    </row>
    <row r="17" spans="1:6">
      <c r="A17">
        <v>16</v>
      </c>
      <c r="B17">
        <v>9</v>
      </c>
      <c r="C17" t="s">
        <v>236</v>
      </c>
      <c r="D17" s="4">
        <v>0</v>
      </c>
      <c r="E17">
        <v>10</v>
      </c>
      <c r="F17" t="str">
        <f t="shared" si="0"/>
        <v>粽子</v>
      </c>
    </row>
    <row r="18" spans="1:6">
      <c r="A18">
        <v>17</v>
      </c>
      <c r="B18">
        <v>10</v>
      </c>
      <c r="C18" s="8" t="s">
        <v>295</v>
      </c>
      <c r="D18" s="4">
        <v>0</v>
      </c>
      <c r="E18">
        <v>80</v>
      </c>
      <c r="F18" t="str">
        <f t="shared" si="0"/>
        <v>贝壳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E21"/>
  <sheetViews>
    <sheetView workbookViewId="0">
      <selection activeCell="A19" sqref="A19"/>
    </sheetView>
  </sheetViews>
  <sheetFormatPr baseColWidth="10" defaultColWidth="8.6640625" defaultRowHeight="15"/>
  <cols>
    <col min="1" max="1" width="17.6640625" customWidth="1"/>
    <col min="2" max="2" width="20.33203125" customWidth="1"/>
    <col min="3" max="3" width="11" customWidth="1"/>
  </cols>
  <sheetData>
    <row r="1" spans="1:5" s="1" customFormat="1" ht="48.75" customHeight="1">
      <c r="A1" s="1" t="s">
        <v>22</v>
      </c>
      <c r="B1" s="1" t="s">
        <v>21</v>
      </c>
      <c r="C1" s="1" t="s">
        <v>0</v>
      </c>
      <c r="D1" s="1" t="s">
        <v>1</v>
      </c>
      <c r="E1" s="1" t="s">
        <v>8</v>
      </c>
    </row>
    <row r="2" spans="1:5">
      <c r="A2" s="3">
        <v>1</v>
      </c>
      <c r="B2" s="3">
        <v>1</v>
      </c>
      <c r="C2" s="2">
        <v>1</v>
      </c>
      <c r="D2" s="2">
        <f>1/C2</f>
        <v>1</v>
      </c>
      <c r="E2" s="5" t="s">
        <v>9</v>
      </c>
    </row>
    <row r="3" spans="1:5">
      <c r="A3" s="3">
        <v>2</v>
      </c>
      <c r="B3" s="3">
        <v>1</v>
      </c>
      <c r="C3" s="2">
        <v>2</v>
      </c>
      <c r="D3" s="2">
        <f>1/C3</f>
        <v>0.5</v>
      </c>
      <c r="E3" s="5" t="s">
        <v>190</v>
      </c>
    </row>
    <row r="4" spans="1:5">
      <c r="A4" s="3">
        <v>3</v>
      </c>
      <c r="B4" s="3">
        <v>1</v>
      </c>
      <c r="C4" s="2">
        <v>5</v>
      </c>
      <c r="D4" s="2">
        <f t="shared" ref="D4:D19" si="0">1/C4</f>
        <v>0.2</v>
      </c>
      <c r="E4" s="5" t="s">
        <v>191</v>
      </c>
    </row>
    <row r="5" spans="1:5">
      <c r="A5" s="3">
        <v>4</v>
      </c>
      <c r="B5" s="3">
        <v>1</v>
      </c>
      <c r="C5" s="2">
        <v>8</v>
      </c>
      <c r="D5" s="2">
        <f t="shared" si="0"/>
        <v>0.125</v>
      </c>
      <c r="E5" s="5" t="s">
        <v>192</v>
      </c>
    </row>
    <row r="6" spans="1:5">
      <c r="A6" s="3">
        <v>5</v>
      </c>
      <c r="B6" s="3">
        <v>1</v>
      </c>
      <c r="C6" s="2">
        <v>15</v>
      </c>
      <c r="D6" s="2">
        <f t="shared" si="0"/>
        <v>6.6666666666666666E-2</v>
      </c>
      <c r="E6" s="5" t="s">
        <v>10</v>
      </c>
    </row>
    <row r="7" spans="1:5">
      <c r="A7" s="3">
        <v>6</v>
      </c>
      <c r="B7" s="3">
        <v>1</v>
      </c>
      <c r="C7" s="2">
        <v>20</v>
      </c>
      <c r="D7" s="2">
        <f t="shared" si="0"/>
        <v>0.05</v>
      </c>
      <c r="E7" s="5" t="s">
        <v>193</v>
      </c>
    </row>
    <row r="8" spans="1:5">
      <c r="A8" s="3">
        <v>7</v>
      </c>
      <c r="B8" s="3">
        <v>1</v>
      </c>
      <c r="C8" s="2">
        <v>30</v>
      </c>
      <c r="D8" s="2">
        <f t="shared" si="0"/>
        <v>3.3333333333333333E-2</v>
      </c>
      <c r="E8" s="5" t="s">
        <v>11</v>
      </c>
    </row>
    <row r="9" spans="1:5">
      <c r="A9" s="3">
        <v>8</v>
      </c>
      <c r="B9" s="3">
        <v>1</v>
      </c>
      <c r="C9" s="2">
        <v>40</v>
      </c>
      <c r="D9" s="2">
        <f t="shared" si="0"/>
        <v>2.5000000000000001E-2</v>
      </c>
      <c r="E9" s="5" t="s">
        <v>194</v>
      </c>
    </row>
    <row r="10" spans="1:5">
      <c r="A10" s="3">
        <v>9</v>
      </c>
      <c r="B10" s="3">
        <v>1</v>
      </c>
      <c r="C10" s="2">
        <v>50</v>
      </c>
      <c r="D10" s="2">
        <f t="shared" si="0"/>
        <v>0.02</v>
      </c>
      <c r="E10" s="5" t="s">
        <v>12</v>
      </c>
    </row>
    <row r="11" spans="1:5">
      <c r="A11" s="3">
        <v>10</v>
      </c>
      <c r="B11" s="3">
        <v>2</v>
      </c>
      <c r="C11" s="2">
        <v>60</v>
      </c>
      <c r="D11" s="2">
        <f t="shared" si="0"/>
        <v>1.6666666666666666E-2</v>
      </c>
      <c r="E11" s="5" t="s">
        <v>13</v>
      </c>
    </row>
    <row r="12" spans="1:5">
      <c r="A12" s="3">
        <v>11</v>
      </c>
      <c r="B12" s="3">
        <v>2</v>
      </c>
      <c r="C12" s="2">
        <v>70</v>
      </c>
      <c r="D12" s="2">
        <f t="shared" si="0"/>
        <v>1.4285714285714285E-2</v>
      </c>
      <c r="E12" s="5" t="s">
        <v>195</v>
      </c>
    </row>
    <row r="13" spans="1:5">
      <c r="A13" s="3">
        <v>12</v>
      </c>
      <c r="B13" s="3">
        <v>2</v>
      </c>
      <c r="C13" s="2">
        <v>100</v>
      </c>
      <c r="D13" s="2">
        <f t="shared" si="0"/>
        <v>0.01</v>
      </c>
      <c r="E13" s="5" t="s">
        <v>14</v>
      </c>
    </row>
    <row r="14" spans="1:5">
      <c r="A14" s="3">
        <v>13</v>
      </c>
      <c r="B14" s="3">
        <v>2</v>
      </c>
      <c r="C14" s="2">
        <v>150</v>
      </c>
      <c r="D14" s="2">
        <f t="shared" si="0"/>
        <v>6.6666666666666671E-3</v>
      </c>
      <c r="E14" s="5" t="s">
        <v>196</v>
      </c>
    </row>
    <row r="15" spans="1:5">
      <c r="A15" s="3">
        <v>14</v>
      </c>
      <c r="B15" s="3">
        <v>2</v>
      </c>
      <c r="C15" s="2">
        <v>80</v>
      </c>
      <c r="D15" s="2">
        <f t="shared" si="0"/>
        <v>1.2500000000000001E-2</v>
      </c>
      <c r="E15" s="5" t="s">
        <v>197</v>
      </c>
    </row>
    <row r="16" spans="1:5">
      <c r="A16" s="3">
        <v>15</v>
      </c>
      <c r="B16" s="3">
        <v>2</v>
      </c>
      <c r="C16" s="2">
        <v>100</v>
      </c>
      <c r="D16" s="2">
        <f t="shared" si="0"/>
        <v>0.01</v>
      </c>
      <c r="E16" s="5" t="s">
        <v>198</v>
      </c>
    </row>
    <row r="17" spans="1:5" ht="13.5" customHeight="1">
      <c r="A17" s="3">
        <v>16</v>
      </c>
      <c r="B17" s="3">
        <v>3</v>
      </c>
      <c r="C17" s="2">
        <v>120</v>
      </c>
      <c r="D17" s="2">
        <f t="shared" si="0"/>
        <v>8.3333333333333332E-3</v>
      </c>
      <c r="E17" s="5" t="s">
        <v>199</v>
      </c>
    </row>
    <row r="18" spans="1:5">
      <c r="A18" s="3">
        <v>17</v>
      </c>
      <c r="B18" s="3">
        <v>3</v>
      </c>
      <c r="C18" s="2">
        <v>140</v>
      </c>
      <c r="D18" s="2">
        <f t="shared" si="0"/>
        <v>7.1428571428571426E-3</v>
      </c>
      <c r="E18" s="5" t="s">
        <v>200</v>
      </c>
    </row>
    <row r="19" spans="1:5">
      <c r="A19" s="3">
        <v>18</v>
      </c>
      <c r="B19" s="3">
        <v>3</v>
      </c>
      <c r="C19" s="2">
        <v>200</v>
      </c>
      <c r="D19" s="2">
        <f t="shared" si="0"/>
        <v>5.0000000000000001E-3</v>
      </c>
      <c r="E19" s="5" t="s">
        <v>201</v>
      </c>
    </row>
    <row r="20" spans="1:5">
      <c r="A20" s="3">
        <v>19</v>
      </c>
      <c r="B20" s="3">
        <v>4</v>
      </c>
      <c r="E20" s="5" t="s">
        <v>254</v>
      </c>
    </row>
    <row r="21" spans="1:5">
      <c r="A21" s="3">
        <v>20</v>
      </c>
      <c r="B21" s="3">
        <v>3</v>
      </c>
      <c r="C21" s="2">
        <v>500</v>
      </c>
      <c r="D21" s="2">
        <f t="shared" ref="D21" si="1">1/C21</f>
        <v>2E-3</v>
      </c>
      <c r="E21" s="5" t="s">
        <v>296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/>
  <dimension ref="A1:C49"/>
  <sheetViews>
    <sheetView topLeftCell="A25" workbookViewId="0">
      <selection activeCell="E52" sqref="E52"/>
    </sheetView>
  </sheetViews>
  <sheetFormatPr baseColWidth="10" defaultColWidth="8.6640625" defaultRowHeight="15"/>
  <cols>
    <col min="1" max="1" width="17.6640625" style="2" customWidth="1"/>
    <col min="2" max="2" width="26.33203125" style="2" customWidth="1"/>
    <col min="3" max="16384" width="8.6640625" style="2"/>
  </cols>
  <sheetData>
    <row r="1" spans="1:3" ht="38.25" customHeight="1">
      <c r="A1" s="1" t="s">
        <v>2</v>
      </c>
      <c r="B1" s="1" t="s">
        <v>180</v>
      </c>
      <c r="C1" s="1" t="s">
        <v>25</v>
      </c>
    </row>
    <row r="2" spans="1:3">
      <c r="A2" s="2">
        <v>1</v>
      </c>
      <c r="B2" s="2">
        <v>300</v>
      </c>
      <c r="C2" s="2">
        <v>1</v>
      </c>
    </row>
    <row r="3" spans="1:3">
      <c r="A3" s="2">
        <v>2</v>
      </c>
      <c r="B3" s="2">
        <v>300</v>
      </c>
      <c r="C3" s="2">
        <v>1</v>
      </c>
    </row>
    <row r="4" spans="1:3">
      <c r="A4" s="2">
        <v>3</v>
      </c>
      <c r="B4" s="2">
        <v>300</v>
      </c>
      <c r="C4" s="2">
        <v>1</v>
      </c>
    </row>
    <row r="5" spans="1:3">
      <c r="A5" s="2">
        <v>4</v>
      </c>
      <c r="B5" s="2">
        <v>300</v>
      </c>
      <c r="C5" s="2">
        <v>1</v>
      </c>
    </row>
    <row r="6" spans="1:3">
      <c r="A6" s="2">
        <v>5</v>
      </c>
      <c r="B6" s="2">
        <v>300</v>
      </c>
      <c r="C6" s="2">
        <v>1</v>
      </c>
    </row>
    <row r="7" spans="1:3">
      <c r="A7" s="2">
        <v>6</v>
      </c>
      <c r="B7" s="2">
        <v>300</v>
      </c>
      <c r="C7" s="2">
        <v>1</v>
      </c>
    </row>
    <row r="8" spans="1:3">
      <c r="A8" s="2">
        <v>7</v>
      </c>
      <c r="B8" s="2">
        <v>300</v>
      </c>
      <c r="C8" s="2">
        <v>2</v>
      </c>
    </row>
    <row r="9" spans="1:3">
      <c r="A9" s="2">
        <v>8</v>
      </c>
      <c r="B9" s="2">
        <v>300</v>
      </c>
      <c r="C9" s="2">
        <v>2</v>
      </c>
    </row>
    <row r="10" spans="1:3">
      <c r="A10" s="2">
        <v>9</v>
      </c>
      <c r="B10" s="2">
        <v>300</v>
      </c>
      <c r="C10" s="2">
        <v>2</v>
      </c>
    </row>
    <row r="11" spans="1:3">
      <c r="A11" s="2">
        <v>10</v>
      </c>
      <c r="B11" s="2">
        <v>300</v>
      </c>
      <c r="C11" s="2">
        <v>2</v>
      </c>
    </row>
    <row r="12" spans="1:3">
      <c r="A12" s="2">
        <v>11</v>
      </c>
      <c r="B12" s="2">
        <v>300</v>
      </c>
      <c r="C12" s="2">
        <v>2</v>
      </c>
    </row>
    <row r="13" spans="1:3">
      <c r="A13" s="2">
        <v>12</v>
      </c>
      <c r="B13" s="2">
        <v>300</v>
      </c>
      <c r="C13" s="2">
        <v>2</v>
      </c>
    </row>
    <row r="14" spans="1:3">
      <c r="A14" s="2">
        <v>13</v>
      </c>
      <c r="B14" s="2">
        <v>300</v>
      </c>
      <c r="C14" s="2">
        <v>2</v>
      </c>
    </row>
    <row r="15" spans="1:3">
      <c r="A15" s="2">
        <v>14</v>
      </c>
      <c r="B15" s="2">
        <v>300</v>
      </c>
      <c r="C15" s="2">
        <v>3</v>
      </c>
    </row>
    <row r="16" spans="1:3">
      <c r="A16" s="2">
        <v>15</v>
      </c>
      <c r="B16" s="2">
        <v>300</v>
      </c>
      <c r="C16" s="2">
        <v>3</v>
      </c>
    </row>
    <row r="17" spans="1:3">
      <c r="A17" s="2">
        <v>16</v>
      </c>
      <c r="B17" s="2">
        <v>300</v>
      </c>
      <c r="C17" s="2">
        <v>3</v>
      </c>
    </row>
    <row r="18" spans="1:3">
      <c r="A18" s="2">
        <v>17</v>
      </c>
      <c r="B18" s="2">
        <v>300</v>
      </c>
      <c r="C18" s="2">
        <v>3</v>
      </c>
    </row>
    <row r="19" spans="1:3">
      <c r="A19" s="2">
        <v>18</v>
      </c>
      <c r="B19" s="2">
        <v>300</v>
      </c>
      <c r="C19" s="2">
        <v>3</v>
      </c>
    </row>
    <row r="20" spans="1:3">
      <c r="A20" s="2">
        <v>19</v>
      </c>
      <c r="B20" s="2">
        <v>300</v>
      </c>
      <c r="C20" s="2">
        <v>3</v>
      </c>
    </row>
    <row r="21" spans="1:3">
      <c r="A21" s="2">
        <v>20</v>
      </c>
      <c r="B21" s="2">
        <v>300</v>
      </c>
      <c r="C21" s="2">
        <v>3</v>
      </c>
    </row>
    <row r="22" spans="1:3">
      <c r="A22" s="2">
        <v>21</v>
      </c>
      <c r="B22" s="2">
        <v>300</v>
      </c>
      <c r="C22" s="2">
        <v>4</v>
      </c>
    </row>
    <row r="23" spans="1:3">
      <c r="A23" s="2">
        <v>22</v>
      </c>
      <c r="B23" s="2">
        <v>300</v>
      </c>
      <c r="C23" s="2">
        <v>4</v>
      </c>
    </row>
    <row r="24" spans="1:3">
      <c r="A24" s="2">
        <v>23</v>
      </c>
      <c r="B24" s="2">
        <v>300</v>
      </c>
      <c r="C24" s="2">
        <v>4</v>
      </c>
    </row>
    <row r="25" spans="1:3">
      <c r="A25" s="2">
        <v>24</v>
      </c>
      <c r="B25" s="2">
        <v>300</v>
      </c>
      <c r="C25" s="2">
        <v>4</v>
      </c>
    </row>
    <row r="26" spans="1:3">
      <c r="A26" s="2">
        <v>25</v>
      </c>
      <c r="B26" s="2">
        <v>300</v>
      </c>
      <c r="C26" s="2">
        <v>4</v>
      </c>
    </row>
    <row r="27" spans="1:3">
      <c r="A27" s="2">
        <v>26</v>
      </c>
      <c r="B27" s="2">
        <v>300</v>
      </c>
      <c r="C27" s="2">
        <v>4</v>
      </c>
    </row>
    <row r="28" spans="1:3">
      <c r="A28" s="2">
        <v>27</v>
      </c>
      <c r="B28" s="2">
        <v>300</v>
      </c>
      <c r="C28" s="2">
        <v>4</v>
      </c>
    </row>
    <row r="29" spans="1:3">
      <c r="A29" s="2">
        <v>28</v>
      </c>
      <c r="B29" s="2">
        <v>300</v>
      </c>
      <c r="C29" s="2">
        <v>4</v>
      </c>
    </row>
    <row r="30" spans="1:3">
      <c r="A30" s="2">
        <v>29</v>
      </c>
      <c r="B30" s="2">
        <v>300</v>
      </c>
    </row>
    <row r="31" spans="1:3">
      <c r="A31" s="2">
        <v>30</v>
      </c>
      <c r="B31" s="2">
        <v>300</v>
      </c>
    </row>
    <row r="32" spans="1:3">
      <c r="A32" s="2">
        <v>31</v>
      </c>
      <c r="B32" s="2">
        <v>300</v>
      </c>
    </row>
    <row r="33" spans="1:2">
      <c r="A33" s="2">
        <v>32</v>
      </c>
      <c r="B33" s="2">
        <v>300</v>
      </c>
    </row>
    <row r="34" spans="1:2">
      <c r="A34" s="2">
        <v>33</v>
      </c>
      <c r="B34" s="2">
        <v>300</v>
      </c>
    </row>
    <row r="35" spans="1:2">
      <c r="A35" s="2">
        <v>34</v>
      </c>
      <c r="B35" s="2">
        <v>300</v>
      </c>
    </row>
    <row r="36" spans="1:2">
      <c r="A36" s="2">
        <v>35</v>
      </c>
      <c r="B36" s="2">
        <v>300</v>
      </c>
    </row>
    <row r="37" spans="1:2">
      <c r="A37" s="2">
        <v>36</v>
      </c>
      <c r="B37" s="2">
        <v>300</v>
      </c>
    </row>
    <row r="38" spans="1:2">
      <c r="A38" s="2">
        <v>37</v>
      </c>
      <c r="B38" s="2">
        <v>300</v>
      </c>
    </row>
    <row r="39" spans="1:2">
      <c r="A39" s="2">
        <v>38</v>
      </c>
      <c r="B39" s="2">
        <v>300</v>
      </c>
    </row>
    <row r="40" spans="1:2">
      <c r="A40" s="2">
        <v>39</v>
      </c>
      <c r="B40" s="2">
        <v>300</v>
      </c>
    </row>
    <row r="41" spans="1:2">
      <c r="A41" s="2">
        <v>40</v>
      </c>
      <c r="B41" s="2">
        <v>300</v>
      </c>
    </row>
    <row r="42" spans="1:2">
      <c r="A42" s="2">
        <v>41</v>
      </c>
      <c r="B42" s="2">
        <v>300</v>
      </c>
    </row>
    <row r="43" spans="1:2">
      <c r="A43" s="2">
        <v>42</v>
      </c>
      <c r="B43" s="2">
        <v>300</v>
      </c>
    </row>
    <row r="44" spans="1:2">
      <c r="A44" s="2">
        <v>43</v>
      </c>
      <c r="B44" s="2">
        <v>300</v>
      </c>
    </row>
    <row r="45" spans="1:2">
      <c r="A45" s="2">
        <v>44</v>
      </c>
      <c r="B45" s="2">
        <v>300</v>
      </c>
    </row>
    <row r="46" spans="1:2">
      <c r="A46" s="2">
        <v>45</v>
      </c>
      <c r="B46" s="2">
        <v>300</v>
      </c>
    </row>
    <row r="47" spans="1:2">
      <c r="A47" s="2">
        <v>46</v>
      </c>
      <c r="B47" s="2">
        <v>300</v>
      </c>
    </row>
    <row r="48" spans="1:2">
      <c r="A48" s="2">
        <v>47</v>
      </c>
      <c r="B48" s="2">
        <v>300</v>
      </c>
    </row>
    <row r="49" spans="1:2">
      <c r="A49" s="2">
        <v>48</v>
      </c>
      <c r="B49" s="2">
        <v>800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"/>
  <dimension ref="A1:D11"/>
  <sheetViews>
    <sheetView workbookViewId="0">
      <selection activeCell="D2" sqref="D2"/>
    </sheetView>
  </sheetViews>
  <sheetFormatPr baseColWidth="10" defaultColWidth="8.83203125" defaultRowHeight="15"/>
  <sheetData>
    <row r="1" spans="1:4" s="1" customFormat="1" ht="43.5" customHeight="1">
      <c r="A1" s="1" t="s">
        <v>27</v>
      </c>
      <c r="B1" s="1" t="s">
        <v>35</v>
      </c>
      <c r="C1" s="1" t="s">
        <v>37</v>
      </c>
      <c r="D1" s="1" t="s">
        <v>213</v>
      </c>
    </row>
    <row r="2" spans="1:4">
      <c r="A2">
        <v>1</v>
      </c>
      <c r="B2" s="6">
        <v>6.0000000000000001E-3</v>
      </c>
      <c r="C2">
        <v>90</v>
      </c>
      <c r="D2">
        <f>C2/B2/(1/profit!C2)/60</f>
        <v>40</v>
      </c>
    </row>
    <row r="3" spans="1:4">
      <c r="A3">
        <v>2</v>
      </c>
      <c r="B3" s="6">
        <v>6.0000000000000001E-3</v>
      </c>
      <c r="C3">
        <v>90</v>
      </c>
      <c r="D3">
        <f>C3/B3/(1/profit!C3)/60</f>
        <v>40</v>
      </c>
    </row>
    <row r="4" spans="1:4">
      <c r="A4">
        <v>3</v>
      </c>
      <c r="B4" s="6">
        <v>6.0000000000000001E-3</v>
      </c>
      <c r="C4">
        <v>90</v>
      </c>
      <c r="D4">
        <f>C4/B4/(1/profit!C4)/60</f>
        <v>40</v>
      </c>
    </row>
    <row r="5" spans="1:4">
      <c r="A5">
        <v>4</v>
      </c>
      <c r="B5" s="6">
        <v>6.0000000000000001E-3</v>
      </c>
      <c r="C5">
        <v>90</v>
      </c>
      <c r="D5">
        <f>C5/B5/(1/profit!C5)/60</f>
        <v>40</v>
      </c>
    </row>
    <row r="6" spans="1:4">
      <c r="A6">
        <v>5</v>
      </c>
      <c r="B6" s="6">
        <v>6.0000000000000001E-3</v>
      </c>
      <c r="C6">
        <v>90</v>
      </c>
      <c r="D6">
        <f>C6/B6/(1/profit!C6)/60</f>
        <v>40</v>
      </c>
    </row>
    <row r="7" spans="1:4">
      <c r="A7">
        <v>6</v>
      </c>
      <c r="B7" s="6">
        <v>6.0000000000000001E-3</v>
      </c>
      <c r="C7">
        <v>90</v>
      </c>
      <c r="D7">
        <f>C7/B7/(1/profit!C7)/60</f>
        <v>40</v>
      </c>
    </row>
    <row r="8" spans="1:4">
      <c r="A8">
        <v>7</v>
      </c>
      <c r="B8" s="6">
        <v>6.0000000000000001E-3</v>
      </c>
      <c r="C8">
        <v>90</v>
      </c>
      <c r="D8">
        <f>C8/B8/(1/profit!C8)/60</f>
        <v>40</v>
      </c>
    </row>
    <row r="9" spans="1:4">
      <c r="A9">
        <v>8</v>
      </c>
      <c r="B9" s="6">
        <v>6.0000000000000001E-3</v>
      </c>
      <c r="C9">
        <v>90</v>
      </c>
      <c r="D9">
        <f>C9/B9/(1/profit!C9)/60</f>
        <v>40</v>
      </c>
    </row>
    <row r="10" spans="1:4">
      <c r="A10">
        <v>9</v>
      </c>
      <c r="B10" s="6">
        <v>6.0000000000000001E-3</v>
      </c>
      <c r="C10">
        <v>90</v>
      </c>
      <c r="D10">
        <f>C10/B10/(1/profit!C10)/60</f>
        <v>40</v>
      </c>
    </row>
    <row r="11" spans="1:4">
      <c r="A11">
        <v>10</v>
      </c>
      <c r="B11" s="6">
        <v>6.0000000000000001E-3</v>
      </c>
      <c r="C11">
        <v>90</v>
      </c>
      <c r="D11">
        <f>C11/B11/(1/profit!C11)/60</f>
        <v>40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/>
  <dimension ref="A1:B11"/>
  <sheetViews>
    <sheetView workbookViewId="0">
      <selection activeCell="E16" sqref="E16"/>
    </sheetView>
  </sheetViews>
  <sheetFormatPr baseColWidth="10" defaultColWidth="8.83203125" defaultRowHeight="15"/>
  <sheetData>
    <row r="1" spans="1:2" s="1" customFormat="1" ht="39.75" customHeight="1">
      <c r="A1" s="1" t="s">
        <v>38</v>
      </c>
      <c r="B1" s="1" t="s">
        <v>39</v>
      </c>
    </row>
    <row r="2" spans="1:2">
      <c r="A2">
        <v>1</v>
      </c>
      <c r="B2">
        <v>1000</v>
      </c>
    </row>
    <row r="3" spans="1:2">
      <c r="A3">
        <v>2</v>
      </c>
      <c r="B3">
        <v>2000</v>
      </c>
    </row>
    <row r="4" spans="1:2">
      <c r="A4">
        <v>3</v>
      </c>
      <c r="B4">
        <v>3000</v>
      </c>
    </row>
    <row r="5" spans="1:2">
      <c r="A5">
        <v>4</v>
      </c>
      <c r="B5">
        <v>4000</v>
      </c>
    </row>
    <row r="6" spans="1:2">
      <c r="A6">
        <v>5</v>
      </c>
      <c r="B6">
        <v>5000</v>
      </c>
    </row>
    <row r="7" spans="1:2">
      <c r="A7">
        <v>6</v>
      </c>
      <c r="B7">
        <v>6000</v>
      </c>
    </row>
    <row r="8" spans="1:2">
      <c r="A8">
        <v>7</v>
      </c>
      <c r="B8">
        <v>7000</v>
      </c>
    </row>
    <row r="9" spans="1:2">
      <c r="A9">
        <v>8</v>
      </c>
      <c r="B9">
        <v>8000</v>
      </c>
    </row>
    <row r="10" spans="1:2">
      <c r="A10">
        <v>9</v>
      </c>
      <c r="B10">
        <v>9000</v>
      </c>
    </row>
    <row r="11" spans="1:2">
      <c r="A11">
        <v>10</v>
      </c>
      <c r="B11">
        <v>10000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XFD3"/>
  <sheetViews>
    <sheetView workbookViewId="0">
      <selection activeCell="C3" sqref="C3"/>
    </sheetView>
  </sheetViews>
  <sheetFormatPr baseColWidth="10" defaultColWidth="8.83203125" defaultRowHeight="15"/>
  <sheetData>
    <row r="1" spans="1:4 16384:16384">
      <c r="A1" s="1" t="s">
        <v>24</v>
      </c>
      <c r="B1" s="1" t="s">
        <v>183</v>
      </c>
      <c r="C1" s="1" t="s">
        <v>184</v>
      </c>
      <c r="D1" s="1" t="s">
        <v>185</v>
      </c>
      <c r="XFD1" s="1"/>
    </row>
    <row r="2" spans="1:4 16384:16384">
      <c r="A2">
        <v>1</v>
      </c>
      <c r="B2" t="s">
        <v>186</v>
      </c>
      <c r="C2">
        <v>10</v>
      </c>
      <c r="D2">
        <v>0</v>
      </c>
    </row>
    <row r="3" spans="1:4 16384:16384">
      <c r="A3">
        <v>2</v>
      </c>
      <c r="B3" t="s">
        <v>187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XFD7"/>
  <sheetViews>
    <sheetView workbookViewId="0">
      <selection activeCell="J32" sqref="J32"/>
    </sheetView>
  </sheetViews>
  <sheetFormatPr baseColWidth="10" defaultColWidth="9" defaultRowHeight="15"/>
  <cols>
    <col min="1" max="1" width="9" style="3"/>
    <col min="2" max="2" width="14.6640625" style="3" customWidth="1"/>
    <col min="3" max="3" width="17.6640625" style="3" customWidth="1"/>
    <col min="4" max="4" width="22.33203125" style="3" customWidth="1"/>
    <col min="5" max="5" width="19.1640625" customWidth="1"/>
    <col min="6" max="6" width="17.1640625" style="3" customWidth="1"/>
    <col min="7" max="16384" width="9" style="3"/>
  </cols>
  <sheetData>
    <row r="1" spans="1:10 16384:16384" ht="36" customHeight="1">
      <c r="A1" s="1" t="s">
        <v>255</v>
      </c>
      <c r="B1" s="1" t="s">
        <v>256</v>
      </c>
      <c r="C1" s="1" t="s">
        <v>257</v>
      </c>
      <c r="D1" s="1" t="s">
        <v>258</v>
      </c>
      <c r="E1" s="1" t="s">
        <v>259</v>
      </c>
      <c r="F1" s="1" t="s">
        <v>260</v>
      </c>
      <c r="G1" s="1"/>
      <c r="H1" s="1"/>
      <c r="I1" s="1"/>
      <c r="J1" s="1"/>
      <c r="XFD1" s="1"/>
    </row>
    <row r="2" spans="1:10 16384:16384" ht="18.75" customHeight="1">
      <c r="A2" s="2">
        <v>1</v>
      </c>
      <c r="B2" s="2" t="s">
        <v>261</v>
      </c>
      <c r="C2" s="2"/>
      <c r="D2" s="2"/>
      <c r="F2" s="2"/>
    </row>
    <row r="3" spans="1:10 16384:16384">
      <c r="A3" s="2">
        <v>2</v>
      </c>
      <c r="B3" s="2" t="s">
        <v>262</v>
      </c>
      <c r="C3" s="2" t="s">
        <v>288</v>
      </c>
      <c r="D3" s="2">
        <v>1</v>
      </c>
      <c r="E3">
        <v>5</v>
      </c>
      <c r="F3" s="2" t="s">
        <v>263</v>
      </c>
    </row>
    <row r="4" spans="1:10 16384:16384">
      <c r="A4" s="2">
        <v>3</v>
      </c>
      <c r="B4" s="2" t="s">
        <v>262</v>
      </c>
      <c r="C4" s="2" t="s">
        <v>264</v>
      </c>
      <c r="D4" s="2">
        <v>1</v>
      </c>
      <c r="E4">
        <v>500000</v>
      </c>
      <c r="F4" s="2" t="s">
        <v>265</v>
      </c>
    </row>
    <row r="5" spans="1:10 16384:16384">
      <c r="A5" s="2">
        <v>4</v>
      </c>
      <c r="B5" s="2" t="s">
        <v>262</v>
      </c>
      <c r="C5" s="2" t="s">
        <v>264</v>
      </c>
      <c r="D5" s="2">
        <v>1</v>
      </c>
      <c r="E5">
        <v>5000000</v>
      </c>
      <c r="F5" s="2" t="s">
        <v>265</v>
      </c>
    </row>
    <row r="6" spans="1:10 16384:16384">
      <c r="A6" s="2">
        <v>5</v>
      </c>
      <c r="B6" s="2" t="s">
        <v>262</v>
      </c>
      <c r="C6" s="2" t="s">
        <v>289</v>
      </c>
      <c r="D6" s="2">
        <v>1</v>
      </c>
      <c r="E6">
        <v>50000000</v>
      </c>
      <c r="F6" s="2" t="s">
        <v>290</v>
      </c>
    </row>
    <row r="7" spans="1:10 16384:16384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XFD4"/>
  <sheetViews>
    <sheetView workbookViewId="0">
      <selection activeCell="E15" sqref="D12:E15"/>
    </sheetView>
  </sheetViews>
  <sheetFormatPr baseColWidth="10" defaultColWidth="8.83203125" defaultRowHeight="15"/>
  <cols>
    <col min="2" max="2" width="15.5" customWidth="1"/>
    <col min="3" max="3" width="15.6640625" customWidth="1"/>
    <col min="4" max="4" width="32.6640625" customWidth="1"/>
    <col min="5" max="5" width="35" customWidth="1"/>
    <col min="6" max="6" width="54.6640625" customWidth="1"/>
  </cols>
  <sheetData>
    <row r="1" spans="1:10 16384:16384" s="3" customFormat="1" ht="36" customHeight="1">
      <c r="A1" s="1" t="s">
        <v>24</v>
      </c>
      <c r="B1" s="1" t="s">
        <v>266</v>
      </c>
      <c r="C1" s="1" t="s">
        <v>267</v>
      </c>
      <c r="D1" s="1" t="s">
        <v>268</v>
      </c>
      <c r="E1" s="1" t="s">
        <v>269</v>
      </c>
      <c r="F1" s="1" t="s">
        <v>270</v>
      </c>
      <c r="G1" s="1"/>
      <c r="H1" s="1"/>
      <c r="I1" s="1"/>
      <c r="J1" s="1"/>
      <c r="XFD1" s="1"/>
    </row>
    <row r="2" spans="1:10 16384:16384" ht="37.5" customHeight="1">
      <c r="A2" s="2">
        <v>1</v>
      </c>
      <c r="B2" s="2">
        <v>1</v>
      </c>
      <c r="C2" s="2" t="s">
        <v>271</v>
      </c>
      <c r="D2" s="2">
        <v>0</v>
      </c>
      <c r="E2" s="2"/>
      <c r="F2" t="s">
        <v>272</v>
      </c>
    </row>
    <row r="3" spans="1:10 16384:16384" ht="39" customHeight="1">
      <c r="A3" s="2">
        <v>2</v>
      </c>
      <c r="B3" s="2">
        <v>1</v>
      </c>
      <c r="C3" s="2" t="s">
        <v>273</v>
      </c>
      <c r="D3" s="2">
        <v>1</v>
      </c>
      <c r="E3" s="2" t="s">
        <v>293</v>
      </c>
      <c r="F3" t="s">
        <v>274</v>
      </c>
    </row>
    <row r="4" spans="1:10 16384:16384" ht="63.75" customHeight="1">
      <c r="A4" s="2">
        <v>3</v>
      </c>
      <c r="B4" s="2">
        <v>1</v>
      </c>
      <c r="C4" s="2" t="s">
        <v>273</v>
      </c>
      <c r="D4" s="2">
        <v>0</v>
      </c>
      <c r="E4" s="4" t="s">
        <v>294</v>
      </c>
      <c r="F4" t="s">
        <v>275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profit</vt:lpstr>
      <vt:lpstr>wave</vt:lpstr>
      <vt:lpstr>random_wave</vt:lpstr>
      <vt:lpstr>image_cfg</vt:lpstr>
      <vt:lpstr>group</vt:lpstr>
      <vt:lpstr>use_fish</vt:lpstr>
      <vt:lpstr>activity</vt:lpstr>
      <vt:lpstr>base_fish</vt:lpstr>
      <vt:lpstr>path</vt:lpstr>
      <vt:lpstr>laser</vt:lpstr>
      <vt:lpstr>gun</vt:lpstr>
      <vt:lpstr>skill</vt:lpstr>
      <vt:lpstr>dead_mode</vt:lpstr>
      <vt:lpstr>box_fish_award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2019-07-02T01:42:10Z</dcterms:modified>
</cp:coreProperties>
</file>