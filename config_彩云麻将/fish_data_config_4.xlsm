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wave" sheetId="26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definedNames>
    <definedName name="_xlnm._FilterDatabase" localSheetId="4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7" l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2" i="7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2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8" i="5"/>
  <c r="F17" i="5"/>
  <c r="F16" i="5"/>
  <c r="G2" i="30"/>
  <c r="F2" i="30"/>
  <c r="D10" i="14"/>
  <c r="D9" i="14"/>
  <c r="D8" i="14"/>
  <c r="D7" i="14"/>
  <c r="D6" i="14"/>
  <c r="D5" i="14"/>
  <c r="D3" i="18"/>
  <c r="D4" i="18"/>
  <c r="D5" i="18"/>
  <c r="D6" i="18"/>
  <c r="D7" i="18"/>
  <c r="D8" i="18"/>
  <c r="D9" i="18"/>
  <c r="D10" i="18"/>
  <c r="D11" i="18"/>
  <c r="D2" i="18"/>
  <c r="D102" i="14"/>
  <c r="D11" i="14"/>
  <c r="D87" i="14"/>
  <c r="D89" i="14"/>
  <c r="D15" i="14"/>
  <c r="D16" i="14"/>
  <c r="D17" i="14"/>
  <c r="D12" i="14"/>
  <c r="D13" i="14"/>
  <c r="D19" i="14"/>
  <c r="D18" i="14"/>
  <c r="D3" i="14"/>
  <c r="D4" i="14"/>
  <c r="D2" i="14"/>
  <c r="D14" i="14"/>
  <c r="D91" i="14"/>
  <c r="D20" i="14"/>
  <c r="D21" i="14"/>
  <c r="D22" i="14"/>
  <c r="D23" i="14"/>
  <c r="D24" i="14"/>
  <c r="D25" i="14"/>
  <c r="D29" i="14"/>
  <c r="D26" i="14"/>
  <c r="D30" i="14"/>
  <c r="D27" i="14"/>
  <c r="D31" i="14"/>
  <c r="D28" i="14"/>
  <c r="D32" i="14"/>
  <c r="D35" i="14"/>
  <c r="D37" i="14"/>
  <c r="D36" i="14"/>
  <c r="D38" i="14"/>
  <c r="D39" i="14"/>
  <c r="D40" i="14"/>
  <c r="D33" i="14"/>
  <c r="D41" i="14"/>
  <c r="D34" i="14"/>
  <c r="D44" i="14"/>
  <c r="D46" i="14"/>
  <c r="D45" i="14"/>
  <c r="D47" i="14"/>
  <c r="D49" i="14"/>
  <c r="D48" i="14"/>
  <c r="D50" i="14"/>
  <c r="D42" i="14"/>
  <c r="D43" i="14"/>
  <c r="D53" i="14"/>
  <c r="D55" i="14"/>
  <c r="D54" i="14"/>
  <c r="D56" i="14"/>
  <c r="D57" i="14"/>
  <c r="D58" i="14"/>
  <c r="D59" i="14"/>
  <c r="D60" i="14"/>
  <c r="D61" i="14"/>
  <c r="D51" i="14"/>
  <c r="D62" i="14"/>
  <c r="D64" i="14"/>
  <c r="D52" i="14"/>
  <c r="D63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8" i="14"/>
  <c r="D80" i="14"/>
  <c r="D77" i="14"/>
  <c r="D79" i="14"/>
  <c r="D81" i="14"/>
  <c r="D82" i="14"/>
  <c r="D83" i="14"/>
  <c r="D84" i="14"/>
  <c r="D86" i="14"/>
  <c r="D85" i="14"/>
  <c r="D88" i="14"/>
  <c r="D90" i="14"/>
  <c r="D92" i="14"/>
  <c r="D93" i="14"/>
  <c r="D95" i="14"/>
  <c r="D97" i="14"/>
  <c r="D94" i="14"/>
  <c r="D96" i="14"/>
  <c r="D98" i="14"/>
  <c r="D99" i="14"/>
  <c r="D100" i="14"/>
  <c r="D101" i="14"/>
  <c r="F3" i="5"/>
  <c r="G20" i="14"/>
  <c r="F4" i="5"/>
  <c r="G21" i="14"/>
  <c r="F6" i="5"/>
  <c r="G22" i="14"/>
  <c r="F8" i="5"/>
  <c r="G23" i="14"/>
  <c r="F11" i="5"/>
  <c r="G24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5" i="14"/>
  <c r="G26" i="14"/>
  <c r="G27" i="14"/>
  <c r="G28" i="14"/>
  <c r="G29" i="14"/>
  <c r="G30" i="14"/>
  <c r="G31" i="14"/>
  <c r="G32" i="14"/>
  <c r="G33" i="14"/>
  <c r="G34" i="14"/>
  <c r="F13" i="5"/>
  <c r="G35" i="14"/>
  <c r="F15" i="5"/>
  <c r="G36" i="14"/>
  <c r="G37" i="14"/>
  <c r="G38" i="14"/>
  <c r="G39" i="14"/>
  <c r="G40" i="14"/>
  <c r="G41" i="14"/>
  <c r="G42" i="14"/>
  <c r="G43" i="14"/>
  <c r="F5" i="5"/>
  <c r="G44" i="14"/>
  <c r="F7" i="5"/>
  <c r="G45" i="14"/>
  <c r="G46" i="14"/>
  <c r="G47" i="14"/>
  <c r="G48" i="14"/>
  <c r="G49" i="14"/>
  <c r="G50" i="14"/>
  <c r="G51" i="14"/>
  <c r="F14" i="5"/>
  <c r="G52" i="14"/>
  <c r="G53" i="14"/>
  <c r="G54" i="14"/>
  <c r="G55" i="14"/>
  <c r="G56" i="14"/>
  <c r="G57" i="14"/>
  <c r="G58" i="14"/>
  <c r="G59" i="14"/>
  <c r="G60" i="14"/>
  <c r="F12" i="5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E99" i="14"/>
  <c r="E98" i="14"/>
  <c r="E97" i="14"/>
  <c r="E96" i="14"/>
  <c r="E95" i="14"/>
  <c r="E94" i="14"/>
  <c r="E93" i="14"/>
  <c r="E88" i="14"/>
  <c r="E87" i="14"/>
  <c r="E85" i="14"/>
  <c r="E83" i="14"/>
  <c r="E79" i="14"/>
  <c r="E78" i="14"/>
  <c r="E77" i="14"/>
  <c r="E76" i="14"/>
  <c r="E75" i="14"/>
  <c r="E74" i="14"/>
  <c r="E73" i="14"/>
  <c r="E69" i="14"/>
  <c r="E68" i="14"/>
  <c r="E67" i="14"/>
  <c r="E66" i="14"/>
  <c r="E65" i="14"/>
  <c r="E62" i="14"/>
  <c r="E61" i="14"/>
  <c r="E60" i="14"/>
  <c r="E59" i="14"/>
  <c r="E58" i="14"/>
  <c r="E57" i="14"/>
  <c r="E56" i="14"/>
  <c r="E51" i="14"/>
  <c r="E50" i="14"/>
  <c r="E49" i="14"/>
  <c r="E48" i="14"/>
  <c r="E47" i="14"/>
  <c r="E46" i="14"/>
  <c r="E42" i="14"/>
  <c r="E41" i="14"/>
  <c r="E39" i="14"/>
  <c r="E37" i="14"/>
  <c r="E34" i="14"/>
  <c r="E33" i="14"/>
  <c r="E32" i="14"/>
  <c r="E31" i="14"/>
  <c r="E30" i="14"/>
  <c r="E29" i="14"/>
  <c r="E27" i="14"/>
  <c r="E25" i="14"/>
  <c r="E24" i="14"/>
  <c r="E23" i="14"/>
  <c r="E22" i="14"/>
  <c r="E21" i="14"/>
  <c r="E20" i="14"/>
  <c r="E35" i="14"/>
  <c r="E36" i="14"/>
  <c r="E43" i="14"/>
  <c r="E44" i="14"/>
  <c r="E45" i="14"/>
  <c r="E52" i="14"/>
  <c r="E53" i="14"/>
  <c r="E54" i="14"/>
  <c r="E55" i="14"/>
  <c r="E63" i="14"/>
  <c r="E70" i="14"/>
  <c r="E71" i="14"/>
  <c r="E72" i="14"/>
  <c r="E80" i="14"/>
  <c r="E81" i="14"/>
  <c r="E82" i="14"/>
  <c r="E89" i="14"/>
  <c r="E90" i="14"/>
  <c r="E91" i="14"/>
  <c r="E92" i="14"/>
  <c r="E100" i="14"/>
  <c r="E101" i="14"/>
  <c r="E102" i="14"/>
  <c r="E18" i="14"/>
  <c r="E16" i="14"/>
  <c r="E14" i="14"/>
  <c r="E12" i="14"/>
  <c r="E10" i="14"/>
  <c r="E8" i="14"/>
  <c r="E6" i="14"/>
  <c r="E4" i="14"/>
  <c r="E2" i="14"/>
  <c r="E86" i="14"/>
  <c r="E38" i="14"/>
  <c r="E64" i="14"/>
  <c r="E3" i="14"/>
  <c r="E7" i="14"/>
  <c r="E11" i="14"/>
  <c r="E15" i="14"/>
  <c r="E19" i="14"/>
  <c r="E26" i="14"/>
  <c r="E40" i="14"/>
  <c r="E84" i="14"/>
  <c r="E5" i="14"/>
  <c r="E9" i="14"/>
  <c r="E13" i="14"/>
  <c r="E17" i="14"/>
  <c r="E28" i="14"/>
</calcChain>
</file>

<file path=xl/sharedStrings.xml><?xml version="1.0" encoding="utf-8"?>
<sst xmlns="http://schemas.openxmlformats.org/spreadsheetml/2006/main" count="451" uniqueCount="279">
  <si>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</si>
  <si>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</si>
  <si>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</si>
  <si>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</si>
  <si>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</si>
  <si>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</si>
  <si>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</si>
  <si>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</si>
  <si>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</si>
  <si>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</si>
  <si>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</si>
  <si>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</si>
  <si>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</si>
  <si>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</si>
  <si>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</si>
  <si>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</si>
  <si>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</si>
  <si>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</si>
  <si>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</si>
  <si>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</si>
  <si>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</si>
  <si>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</si>
  <si>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</si>
  <si>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</si>
  <si>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</si>
  <si>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</si>
  <si>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</si>
  <si>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</si>
  <si>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</si>
  <si>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</si>
  <si>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</si>
  <si>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</si>
  <si>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</si>
  <si>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</si>
  <si>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</si>
  <si>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</si>
  <si>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</si>
  <si>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</si>
  <si>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</si>
  <si>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</si>
  <si>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</si>
  <si>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</si>
  <si>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</si>
  <si>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</si>
  <si>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</si>
  <si>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</si>
  <si>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</si>
  <si>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</si>
  <si>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</si>
  <si>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</si>
  <si>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</si>
  <si>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</si>
  <si>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</si>
  <si>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</si>
  <si>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</si>
  <si>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</si>
  <si>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</si>
  <si>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</si>
  <si>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</si>
  <si>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</si>
  <si>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</si>
  <si>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</si>
  <si>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</si>
  <si>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</si>
  <si>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</si>
  <si>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</si>
  <si>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</si>
  <si>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</si>
  <si>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</si>
  <si>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</si>
  <si>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</si>
  <si>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</si>
  <si>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</si>
  <si>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</si>
  <si>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</si>
  <si>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</si>
  <si>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</si>
  <si>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</si>
  <si>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</si>
  <si>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</si>
  <si>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</si>
  <si>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</si>
  <si>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</si>
  <si>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</si>
  <si>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</si>
  <si>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</si>
  <si>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</si>
  <si>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</si>
  <si>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</si>
  <si>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</si>
  <si>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</si>
  <si>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</si>
  <si>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</si>
  <si>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</si>
  <si>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</si>
  <si>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</si>
  <si>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</si>
  <si>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</si>
  <si>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</si>
  <si>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</si>
  <si>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</si>
  <si>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</si>
  <si>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</si>
  <si>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</si>
  <si>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</si>
  <si>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</si>
  <si>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</si>
  <si>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</si>
  <si>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</si>
  <si>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</si>
  <si>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</si>
  <si>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</si>
  <si>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</si>
  <si>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</si>
  <si>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</si>
  <si>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</si>
  <si>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</si>
  <si>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</si>
  <si>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</si>
  <si>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</si>
  <si>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</si>
  <si>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</si>
  <si>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</si>
  <si>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</si>
  <si>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</si>
  <si>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</si>
  <si>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</si>
  <si>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</si>
  <si>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</si>
  <si>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</si>
  <si>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</si>
  <si>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</si>
  <si>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</si>
  <si>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</si>
  <si>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</si>
  <si>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</si>
  <si>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</si>
  <si>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</si>
  <si>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</si>
  <si>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</si>
  <si>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</si>
  <si>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</si>
  <si>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</si>
  <si>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</si>
  <si>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</si>
  <si>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</si>
  <si>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</si>
  <si>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</si>
  <si>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</si>
  <si>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</si>
  <si>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</si>
  <si>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</si>
  <si>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</si>
  <si>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</si>
  <si>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</si>
  <si>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</si>
  <si>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</si>
  <si>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</si>
  <si>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</si>
  <si>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</si>
  <si>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</si>
  <si>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</si>
  <si>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</si>
  <si>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</si>
  <si>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</si>
  <si>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</si>
  <si>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</si>
  <si>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</si>
  <si>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</si>
  <si>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</si>
  <si>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</si>
  <si>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</si>
  <si>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</si>
  <si>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</si>
  <si>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</si>
  <si>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</si>
  <si>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</si>
  <si>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</si>
  <si>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</si>
  <si>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</si>
  <si>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</si>
  <si>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</si>
  <si>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</si>
  <si>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</si>
  <si>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</si>
  <si>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12389活动不要随意修改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</si>
  <si>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</si>
  <si>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</si>
  <si>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</si>
  <si>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</si>
  <si>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</si>
  <si>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</si>
  <si>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</si>
  <si>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</si>
  <si>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</si>
  <si>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</si>
  <si>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</si>
  <si>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</si>
  <si>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</si>
  <si>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</si>
  <si>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</si>
  <si>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</si>
  <si>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</si>
  <si>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</si>
  <si>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</si>
  <si>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</si>
  <si>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</si>
  <si>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</si>
  <si>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</si>
  <si>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</si>
  <si>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</si>
  <si>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</si>
  <si>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</si>
  <si>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</si>
  <si>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</si>
  <si>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</si>
  <si>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</si>
  <si>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</si>
  <si>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</si>
  <si>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</si>
  <si>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</si>
  <si>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</si>
  <si>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</si>
  <si>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</si>
  <si>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63,2,</t>
    <phoneticPr fontId="1" type="noConversion"/>
  </si>
  <si>
    <t>no</t>
  </si>
  <si>
    <t>random_no</t>
  </si>
  <si>
    <t>guding_no</t>
  </si>
  <si>
    <t>over_time_min</t>
  </si>
  <si>
    <t>over_time_max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</si>
  <si>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</si>
  <si>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</si>
  <si>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</si>
  <si>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</si>
  <si>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</si>
  <si>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</si>
  <si>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</si>
  <si>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</si>
  <si>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create_gd_interval|最小创建间隔时间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</si>
  <si>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</si>
  <si>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</si>
  <si>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</si>
  <si>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</si>
  <si>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</si>
  <si>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</si>
  <si>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</si>
  <si>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</si>
  <si>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</si>
  <si>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</si>
  <si>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</si>
  <si>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</si>
  <si>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</si>
  <si>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</si>
  <si>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</si>
  <si>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</si>
  <si>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0.01,</t>
    <phoneticPr fontId="1" type="noConversion"/>
  </si>
  <si>
    <t>60,10,10</t>
    <phoneticPr fontId="1" type="noConversion"/>
  </si>
  <si>
    <t>黄金龙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</si>
  <si>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</si>
  <si>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</si>
  <si>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</si>
  <si>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</si>
  <si>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</si>
  <si>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</si>
  <si>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</si>
  <si>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</si>
  <si>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self_gd_blood</t>
    <phoneticPr fontId="1" type="noConversion"/>
  </si>
  <si>
    <t>只能自己打</t>
    <phoneticPr fontId="1" type="noConversion"/>
  </si>
  <si>
    <t>self_blood</t>
    <phoneticPr fontId="1" type="noConversion"/>
  </si>
  <si>
    <t>award|倍数</t>
    <phoneticPr fontId="1" type="noConversion"/>
  </si>
  <si>
    <t>life|生命</t>
    <phoneticPr fontId="1" type="noConversion"/>
  </si>
  <si>
    <t>临时活动</t>
    <phoneticPr fontId="1" type="noConversion"/>
  </si>
  <si>
    <t>贝壳</t>
    <phoneticPr fontId="1" type="noConversion"/>
  </si>
  <si>
    <t>宝箱</t>
    <phoneticPr fontId="1" type="noConversion"/>
  </si>
  <si>
    <t>life|生命</t>
    <phoneticPr fontId="1" type="noConversion"/>
  </si>
  <si>
    <t>award|奖励倍数</t>
    <phoneticPr fontId="1" type="noConversion"/>
  </si>
  <si>
    <t>life|生命</t>
    <phoneticPr fontId="1" type="noConversion"/>
  </si>
  <si>
    <t>dead_mode|死亡模式</t>
  </si>
  <si>
    <t>award|倍率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</si>
</sst>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A2" sqref="A2:E4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230</v>
      </c>
    </row>
    <row r="2" spans="1:5" x14ac:dyDescent="0.2">
      <c r="A2">
        <v>1</v>
      </c>
      <c r="B2" s="6">
        <v>5.0000000000000001E-3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5.0000000000000001E-3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5.0000000000000001E-3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5.0000000000000001E-3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5.0000000000000001E-3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5.0000000000000001E-3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5.0000000000000001E-3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5.0000000000000001E-3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5.0000000000000001E-3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5.0000000000000001E-3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1.4999999999999999E-2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1.4999999999999999E-2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1.4999999999999999E-2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1.4999999999999999E-2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1.4999999999999999E-2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1.4999999999999999E-2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1.4999999999999999E-2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1.4999999999999999E-2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1.4999999999999999E-2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1.4999999999999999E-2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0.02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0.02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0.02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0.02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0.02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0.02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0.02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0.02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0.02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0.02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0.03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0.03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0.03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0.03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0.03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0.03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0.03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0.03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0.03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0.03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231</v>
      </c>
      <c r="B1" s="2" t="s">
        <v>232</v>
      </c>
      <c r="C1" s="2" t="s">
        <v>233</v>
      </c>
      <c r="D1" s="2" t="s">
        <v>234</v>
      </c>
      <c r="E1" s="2" t="s">
        <v>235</v>
      </c>
      <c r="F1" s="2" t="s">
        <v>236</v>
      </c>
      <c r="G1" s="2" t="s">
        <v>237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G11" sqref="G11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225</v>
      </c>
      <c r="B1" s="1" t="s">
        <v>226</v>
      </c>
      <c r="C1" s="1" t="s">
        <v>227</v>
      </c>
      <c r="D1" s="1" t="s">
        <v>228</v>
      </c>
      <c r="E1" s="1" t="s">
        <v>229</v>
      </c>
      <c r="F1" s="1" t="s">
        <v>238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54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29"/>
  <sheetViews>
    <sheetView workbookViewId="0">
      <pane ySplit="1" topLeftCell="A122" activePane="bottomLeft" state="frozen"/>
      <selection pane="bottomLeft" activeCell="J138" sqref="J138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10" width="12" customWidth="1"/>
    <col min="11" max="11" width="29.5" customWidth="1"/>
    <col min="17" max="23" width="8.7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276</v>
      </c>
      <c r="I1" s="1" t="s">
        <v>278</v>
      </c>
      <c r="J1" s="1" t="s">
        <v>239</v>
      </c>
      <c r="K1" s="1" t="s">
        <v>65</v>
      </c>
      <c r="Q1" s="1" t="s">
        <v>170</v>
      </c>
      <c r="R1" s="1" t="s">
        <v>170</v>
      </c>
      <c r="S1" s="1" t="s">
        <v>170</v>
      </c>
      <c r="T1" s="1" t="s">
        <v>170</v>
      </c>
      <c r="U1" s="1" t="s">
        <v>170</v>
      </c>
      <c r="V1" s="1" t="s">
        <v>170</v>
      </c>
      <c r="W1" s="1" t="s">
        <v>170</v>
      </c>
    </row>
    <row r="2" spans="1:23" x14ac:dyDescent="0.2">
      <c r="A2">
        <v>1</v>
      </c>
      <c r="B2">
        <v>1</v>
      </c>
      <c r="C2" t="s">
        <v>49</v>
      </c>
      <c r="D2" t="s">
        <v>176</v>
      </c>
      <c r="E2" t="s">
        <v>212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K2" t="s">
        <v>200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177</v>
      </c>
      <c r="E3" t="s">
        <v>212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K3" t="s">
        <v>59</v>
      </c>
      <c r="Q3">
        <v>1</v>
      </c>
    </row>
    <row r="4" spans="1:23" x14ac:dyDescent="0.2">
      <c r="A4">
        <v>3</v>
      </c>
      <c r="B4">
        <v>1</v>
      </c>
      <c r="C4" t="s">
        <v>66</v>
      </c>
      <c r="D4" t="s">
        <v>178</v>
      </c>
      <c r="E4" t="s">
        <v>212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66</v>
      </c>
      <c r="D5" t="s">
        <v>191</v>
      </c>
      <c r="E5" t="s">
        <v>212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212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67</v>
      </c>
      <c r="D7" t="s">
        <v>179</v>
      </c>
      <c r="E7" t="s">
        <v>212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180</v>
      </c>
      <c r="E8" t="s">
        <v>212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177</v>
      </c>
      <c r="E9" t="s">
        <v>212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66</v>
      </c>
      <c r="D10" t="s">
        <v>181</v>
      </c>
      <c r="E10" t="s">
        <v>212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66</v>
      </c>
      <c r="D11" t="s">
        <v>182</v>
      </c>
      <c r="E11" t="s">
        <v>212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178</v>
      </c>
      <c r="E12" t="s">
        <v>212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68</v>
      </c>
      <c r="D13" t="s">
        <v>66</v>
      </c>
      <c r="E13" t="s">
        <v>212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Q13">
        <v>4</v>
      </c>
    </row>
    <row r="14" spans="1:23" x14ac:dyDescent="0.2">
      <c r="A14">
        <v>13</v>
      </c>
      <c r="B14">
        <v>2</v>
      </c>
      <c r="C14" t="s">
        <v>177</v>
      </c>
      <c r="D14" t="s">
        <v>66</v>
      </c>
      <c r="E14" t="s">
        <v>212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66</v>
      </c>
      <c r="E15" t="s">
        <v>212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Q15">
        <v>6</v>
      </c>
    </row>
    <row r="16" spans="1:23" x14ac:dyDescent="0.2">
      <c r="A16">
        <v>15</v>
      </c>
      <c r="B16">
        <v>2</v>
      </c>
      <c r="C16" t="s">
        <v>69</v>
      </c>
      <c r="D16" t="s">
        <v>66</v>
      </c>
      <c r="E16" t="s">
        <v>212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Q16">
        <v>7</v>
      </c>
    </row>
    <row r="17" spans="1:17" x14ac:dyDescent="0.2">
      <c r="A17">
        <v>16</v>
      </c>
      <c r="B17">
        <v>2</v>
      </c>
      <c r="C17" t="s">
        <v>70</v>
      </c>
      <c r="D17" t="s">
        <v>66</v>
      </c>
      <c r="E17" t="s">
        <v>212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Q17">
        <v>8</v>
      </c>
    </row>
    <row r="18" spans="1:17" x14ac:dyDescent="0.2">
      <c r="A18">
        <v>17</v>
      </c>
      <c r="B18">
        <v>2</v>
      </c>
      <c r="C18" t="s">
        <v>71</v>
      </c>
      <c r="D18" t="s">
        <v>66</v>
      </c>
      <c r="E18" t="s">
        <v>212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Q18">
        <v>9</v>
      </c>
    </row>
    <row r="19" spans="1:17" x14ac:dyDescent="0.2">
      <c r="A19">
        <v>18</v>
      </c>
      <c r="B19">
        <v>1</v>
      </c>
      <c r="C19" t="s">
        <v>68</v>
      </c>
      <c r="E19" t="s">
        <v>212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192</v>
      </c>
      <c r="E20" t="s">
        <v>212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212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69</v>
      </c>
      <c r="E22" t="s">
        <v>212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70</v>
      </c>
      <c r="E23" t="s">
        <v>212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71</v>
      </c>
      <c r="E24" t="s">
        <v>212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72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73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74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205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Q28">
        <v>90</v>
      </c>
    </row>
    <row r="29" spans="1:17" x14ac:dyDescent="0.2">
      <c r="A29">
        <v>28</v>
      </c>
      <c r="B29">
        <v>1</v>
      </c>
      <c r="C29" t="s">
        <v>75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Q29">
        <v>14</v>
      </c>
    </row>
    <row r="30" spans="1:17" x14ac:dyDescent="0.2">
      <c r="A30">
        <v>29</v>
      </c>
      <c r="B30">
        <v>1</v>
      </c>
      <c r="C30" t="s">
        <v>76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77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78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Q32">
        <v>17</v>
      </c>
    </row>
    <row r="33" spans="1:17" x14ac:dyDescent="0.2">
      <c r="A33">
        <v>32</v>
      </c>
      <c r="B33">
        <v>1</v>
      </c>
      <c r="C33" t="s">
        <v>79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Q33">
        <v>18</v>
      </c>
    </row>
    <row r="34" spans="1:17" x14ac:dyDescent="0.2">
      <c r="A34">
        <v>33</v>
      </c>
      <c r="B34">
        <v>1</v>
      </c>
      <c r="C34" t="s">
        <v>80</v>
      </c>
      <c r="E34" t="s">
        <v>212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Q34">
        <v>19</v>
      </c>
    </row>
    <row r="35" spans="1:17" x14ac:dyDescent="0.2">
      <c r="A35">
        <v>34</v>
      </c>
      <c r="B35">
        <v>1</v>
      </c>
      <c r="C35" t="s">
        <v>81</v>
      </c>
      <c r="E35" t="s">
        <v>212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Q35">
        <v>20</v>
      </c>
    </row>
    <row r="36" spans="1:17" x14ac:dyDescent="0.2">
      <c r="A36">
        <v>35</v>
      </c>
      <c r="B36">
        <v>1</v>
      </c>
      <c r="C36" t="s">
        <v>82</v>
      </c>
      <c r="E36" t="s">
        <v>212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Q36">
        <v>21</v>
      </c>
    </row>
    <row r="37" spans="1:17" x14ac:dyDescent="0.2">
      <c r="A37">
        <v>36</v>
      </c>
      <c r="B37">
        <v>1</v>
      </c>
      <c r="C37" t="s">
        <v>83</v>
      </c>
      <c r="E37" t="s">
        <v>212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Q37">
        <v>22</v>
      </c>
    </row>
    <row r="38" spans="1:17" x14ac:dyDescent="0.2">
      <c r="A38">
        <v>37</v>
      </c>
      <c r="B38">
        <v>1</v>
      </c>
      <c r="C38" t="s">
        <v>84</v>
      </c>
      <c r="E38" t="s">
        <v>212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Q38">
        <v>23</v>
      </c>
    </row>
    <row r="39" spans="1:17" x14ac:dyDescent="0.2">
      <c r="A39">
        <v>38</v>
      </c>
      <c r="B39">
        <v>1</v>
      </c>
      <c r="C39" t="s">
        <v>85</v>
      </c>
      <c r="E39" t="s">
        <v>212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Q39">
        <v>24</v>
      </c>
    </row>
    <row r="40" spans="1:17" x14ac:dyDescent="0.2">
      <c r="A40">
        <v>39</v>
      </c>
      <c r="B40">
        <v>1</v>
      </c>
      <c r="C40" t="s">
        <v>86</v>
      </c>
      <c r="E40" t="s">
        <v>212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Q40">
        <v>25</v>
      </c>
    </row>
    <row r="41" spans="1:17" x14ac:dyDescent="0.2">
      <c r="A41">
        <v>40</v>
      </c>
      <c r="B41">
        <v>1</v>
      </c>
      <c r="C41" t="s">
        <v>87</v>
      </c>
      <c r="E41" t="s">
        <v>212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88</v>
      </c>
      <c r="E42" t="s">
        <v>212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89</v>
      </c>
      <c r="E43" t="s">
        <v>212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80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80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90</v>
      </c>
      <c r="E44" t="s">
        <v>212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91</v>
      </c>
      <c r="E45" t="s">
        <v>212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Q45">
        <v>30</v>
      </c>
    </row>
    <row r="46" spans="1:17" x14ac:dyDescent="0.2">
      <c r="A46">
        <v>45</v>
      </c>
      <c r="B46">
        <v>1</v>
      </c>
      <c r="C46" t="s">
        <v>92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Q46">
        <v>31</v>
      </c>
    </row>
    <row r="47" spans="1:17" x14ac:dyDescent="0.2">
      <c r="A47">
        <v>46</v>
      </c>
      <c r="B47">
        <v>1</v>
      </c>
      <c r="C47" t="s">
        <v>93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Q47">
        <v>32</v>
      </c>
    </row>
    <row r="48" spans="1:17" x14ac:dyDescent="0.2">
      <c r="A48">
        <v>47</v>
      </c>
      <c r="B48">
        <v>1</v>
      </c>
      <c r="C48" t="s">
        <v>94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90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90</v>
      </c>
      <c r="Q48">
        <v>33</v>
      </c>
    </row>
    <row r="49" spans="1:17" x14ac:dyDescent="0.2">
      <c r="A49">
        <v>48</v>
      </c>
      <c r="B49">
        <v>1</v>
      </c>
      <c r="C49" t="s">
        <v>95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Q49">
        <v>34</v>
      </c>
    </row>
    <row r="50" spans="1:17" x14ac:dyDescent="0.2">
      <c r="A50">
        <v>49</v>
      </c>
      <c r="B50">
        <v>1</v>
      </c>
      <c r="C50" t="s">
        <v>96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Q50">
        <v>35</v>
      </c>
    </row>
    <row r="51" spans="1:17" x14ac:dyDescent="0.2">
      <c r="A51">
        <v>50</v>
      </c>
      <c r="B51">
        <v>1</v>
      </c>
      <c r="C51" t="s">
        <v>97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Q51">
        <v>36</v>
      </c>
    </row>
    <row r="52" spans="1:17" x14ac:dyDescent="0.2">
      <c r="A52">
        <v>51</v>
      </c>
      <c r="B52">
        <v>1</v>
      </c>
      <c r="C52" t="s">
        <v>98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Q52">
        <v>37</v>
      </c>
    </row>
    <row r="53" spans="1:17" x14ac:dyDescent="0.2">
      <c r="A53">
        <v>52</v>
      </c>
      <c r="B53">
        <v>1</v>
      </c>
      <c r="C53" t="s">
        <v>99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Q53">
        <v>38</v>
      </c>
    </row>
    <row r="54" spans="1:17" x14ac:dyDescent="0.2">
      <c r="A54">
        <v>53</v>
      </c>
      <c r="B54">
        <v>1</v>
      </c>
      <c r="C54" t="s">
        <v>100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Q54">
        <v>39</v>
      </c>
    </row>
    <row r="55" spans="1:17" x14ac:dyDescent="0.2">
      <c r="A55">
        <v>54</v>
      </c>
      <c r="B55">
        <v>1</v>
      </c>
      <c r="C55" t="s">
        <v>101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100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100</v>
      </c>
      <c r="Q55">
        <v>40</v>
      </c>
    </row>
    <row r="56" spans="1:17" x14ac:dyDescent="0.2">
      <c r="A56">
        <v>55</v>
      </c>
      <c r="B56">
        <v>1</v>
      </c>
      <c r="C56" t="s">
        <v>102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Q56">
        <v>41</v>
      </c>
    </row>
    <row r="57" spans="1:17" x14ac:dyDescent="0.2">
      <c r="A57">
        <v>56</v>
      </c>
      <c r="B57">
        <v>1</v>
      </c>
      <c r="C57" t="s">
        <v>103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Q57">
        <v>42</v>
      </c>
    </row>
    <row r="58" spans="1:17" x14ac:dyDescent="0.2">
      <c r="A58">
        <v>57</v>
      </c>
      <c r="B58">
        <v>1</v>
      </c>
      <c r="C58" t="s">
        <v>104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Q58">
        <v>43</v>
      </c>
    </row>
    <row r="59" spans="1:17" x14ac:dyDescent="0.2">
      <c r="A59">
        <v>58</v>
      </c>
      <c r="B59">
        <v>1</v>
      </c>
      <c r="C59" t="s">
        <v>105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Q59">
        <v>44</v>
      </c>
    </row>
    <row r="60" spans="1:17" x14ac:dyDescent="0.2">
      <c r="A60">
        <v>59</v>
      </c>
      <c r="B60">
        <v>1</v>
      </c>
      <c r="C60" t="s">
        <v>106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Q60">
        <v>45</v>
      </c>
    </row>
    <row r="61" spans="1:17" x14ac:dyDescent="0.2">
      <c r="A61">
        <v>60</v>
      </c>
      <c r="B61">
        <v>1</v>
      </c>
      <c r="C61" t="s">
        <v>107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Q61">
        <v>46</v>
      </c>
    </row>
    <row r="62" spans="1:17" x14ac:dyDescent="0.2">
      <c r="A62">
        <v>61</v>
      </c>
      <c r="B62">
        <v>1</v>
      </c>
      <c r="C62" t="s">
        <v>108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Q62">
        <v>47</v>
      </c>
    </row>
    <row r="63" spans="1:17" x14ac:dyDescent="0.2">
      <c r="A63">
        <v>62</v>
      </c>
      <c r="B63">
        <v>1</v>
      </c>
      <c r="C63" t="s">
        <v>109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Q63">
        <v>48</v>
      </c>
    </row>
    <row r="64" spans="1:17" x14ac:dyDescent="0.2">
      <c r="A64">
        <v>63</v>
      </c>
      <c r="B64">
        <v>1</v>
      </c>
      <c r="C64" t="s">
        <v>110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110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110</v>
      </c>
      <c r="Q64">
        <v>49</v>
      </c>
    </row>
    <row r="65" spans="1:17" x14ac:dyDescent="0.2">
      <c r="A65">
        <v>64</v>
      </c>
      <c r="B65">
        <v>1</v>
      </c>
      <c r="C65" t="s">
        <v>111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Q65">
        <v>50</v>
      </c>
    </row>
    <row r="66" spans="1:17" x14ac:dyDescent="0.2">
      <c r="A66">
        <v>65</v>
      </c>
      <c r="B66">
        <v>1</v>
      </c>
      <c r="C66" t="s">
        <v>112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Q66">
        <v>51</v>
      </c>
    </row>
    <row r="67" spans="1:17" x14ac:dyDescent="0.2">
      <c r="A67">
        <v>66</v>
      </c>
      <c r="B67">
        <v>1</v>
      </c>
      <c r="C67" t="s">
        <v>113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Q67">
        <v>52</v>
      </c>
    </row>
    <row r="68" spans="1:17" x14ac:dyDescent="0.2">
      <c r="A68">
        <v>67</v>
      </c>
      <c r="B68">
        <v>1</v>
      </c>
      <c r="C68" t="s">
        <v>114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Q68">
        <v>53</v>
      </c>
    </row>
    <row r="69" spans="1:17" x14ac:dyDescent="0.2">
      <c r="A69">
        <v>68</v>
      </c>
      <c r="B69">
        <v>1</v>
      </c>
      <c r="C69" t="s">
        <v>115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Q69">
        <v>54</v>
      </c>
    </row>
    <row r="70" spans="1:17" x14ac:dyDescent="0.2">
      <c r="A70">
        <v>69</v>
      </c>
      <c r="B70">
        <v>1</v>
      </c>
      <c r="C70" t="s">
        <v>116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117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118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119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120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120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120</v>
      </c>
      <c r="Q74">
        <v>59</v>
      </c>
    </row>
    <row r="75" spans="1:17" x14ac:dyDescent="0.2">
      <c r="A75">
        <v>74</v>
      </c>
      <c r="B75">
        <v>1</v>
      </c>
      <c r="C75" t="s">
        <v>121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122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123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124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Q78">
        <v>63</v>
      </c>
    </row>
    <row r="79" spans="1:17" x14ac:dyDescent="0.2">
      <c r="A79">
        <v>78</v>
      </c>
      <c r="B79">
        <v>1</v>
      </c>
      <c r="C79" t="s">
        <v>125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126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127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128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129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150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150</v>
      </c>
      <c r="Q83">
        <v>68</v>
      </c>
    </row>
    <row r="84" spans="1:17" x14ac:dyDescent="0.2">
      <c r="A84">
        <v>83</v>
      </c>
      <c r="B84">
        <v>1</v>
      </c>
      <c r="C84" t="s">
        <v>130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131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132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133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134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135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136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137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130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130</v>
      </c>
      <c r="Q91">
        <v>76</v>
      </c>
    </row>
    <row r="92" spans="1:17" x14ac:dyDescent="0.2">
      <c r="A92">
        <v>91</v>
      </c>
      <c r="B92">
        <v>1</v>
      </c>
      <c r="C92" t="s">
        <v>138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Q92">
        <v>77</v>
      </c>
    </row>
    <row r="93" spans="1:17" x14ac:dyDescent="0.2">
      <c r="A93">
        <v>92</v>
      </c>
      <c r="B93">
        <v>1</v>
      </c>
      <c r="C93" t="s">
        <v>139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Q93">
        <v>78</v>
      </c>
    </row>
    <row r="94" spans="1:17" x14ac:dyDescent="0.2">
      <c r="A94">
        <v>93</v>
      </c>
      <c r="B94">
        <v>1</v>
      </c>
      <c r="C94" t="s">
        <v>140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Q94">
        <v>79</v>
      </c>
    </row>
    <row r="95" spans="1:17" x14ac:dyDescent="0.2">
      <c r="A95">
        <v>94</v>
      </c>
      <c r="B95">
        <v>1</v>
      </c>
      <c r="C95" t="s">
        <v>141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142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143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144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145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146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147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150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150</v>
      </c>
      <c r="Q101">
        <v>86</v>
      </c>
    </row>
    <row r="102" spans="1:17" x14ac:dyDescent="0.2">
      <c r="A102">
        <v>101</v>
      </c>
      <c r="B102">
        <v>1</v>
      </c>
      <c r="C102" t="s">
        <v>148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149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150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151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152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153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154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155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156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157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158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159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160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161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162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206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207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208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209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210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211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163</v>
      </c>
      <c r="G123" t="s">
        <v>164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217</v>
      </c>
      <c r="G124" t="s">
        <v>165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218</v>
      </c>
      <c r="G125" t="s">
        <v>166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219</v>
      </c>
      <c r="G126" t="s">
        <v>167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220</v>
      </c>
      <c r="G127" t="s">
        <v>166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221</v>
      </c>
      <c r="G128" t="s">
        <v>168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222</v>
      </c>
      <c r="G129" t="s">
        <v>169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Q129">
        <v>4</v>
      </c>
      <c r="R129">
        <v>5</v>
      </c>
      <c r="S129">
        <v>10</v>
      </c>
      <c r="T129">
        <v>8</v>
      </c>
    </row>
  </sheetData>
  <autoFilter ref="I1:I129"/>
  <dataConsolidate/>
  <phoneticPr fontId="1" type="noConversion"/>
  <conditionalFormatting sqref="J2:J12 I130:J1048576 J19:J129 I2:I12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:J18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2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2"/>
  <sheetViews>
    <sheetView workbookViewId="0">
      <pane ySplit="1" topLeftCell="A100" activePane="bottomLeft" state="frozen"/>
      <selection pane="bottomLeft" activeCell="K106" sqref="K106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</cols>
  <sheetData>
    <row r="1" spans="1:9" ht="27" x14ac:dyDescent="0.2">
      <c r="A1" s="1" t="s">
        <v>26</v>
      </c>
      <c r="B1" s="1" t="s">
        <v>27</v>
      </c>
      <c r="C1" s="1" t="s">
        <v>21</v>
      </c>
      <c r="D1" s="1" t="s">
        <v>274</v>
      </c>
      <c r="E1" s="1" t="s">
        <v>0</v>
      </c>
      <c r="F1" s="1" t="s">
        <v>29</v>
      </c>
      <c r="G1" s="1" t="s">
        <v>23</v>
      </c>
      <c r="H1" s="9" t="s">
        <v>275</v>
      </c>
      <c r="I1" s="9" t="s">
        <v>277</v>
      </c>
    </row>
    <row r="2" spans="1:9" x14ac:dyDescent="0.2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INDEX(base_fish!E:E,MATCH(use_fish!B2,base_fish!A:A,0))&amp;_xlfn.IFNA("+"&amp;INDEX(activity!F:F,MATCH(use_fish!C2,activity!A:A,0)),"")</f>
        <v>小黄鱼</v>
      </c>
      <c r="H2" s="2">
        <f>LOOKUP(use_fish!B2,base_fish!A:A,base_fish!F:F)+_xlfn.IFNA(INDEX(activity!E:E,MATCH(use_fish!C2,activity!A:A,0)),0)</f>
        <v>1</v>
      </c>
      <c r="I2">
        <v>1</v>
      </c>
    </row>
    <row r="3" spans="1:9" x14ac:dyDescent="0.2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INDEX(base_fish!E:E,MATCH(use_fish!B3,base_fish!A:A,0))&amp;_xlfn.IFNA("+"&amp;INDEX(activity!F:F,MATCH(use_fish!C3,activity!A:A,0)),"")</f>
        <v>小蓝鱼</v>
      </c>
      <c r="H3" s="2">
        <f>LOOKUP(use_fish!B3,base_fish!A:A,base_fish!F:F)+_xlfn.IFNA(INDEX(activity!E:E,MATCH(use_fish!C3,activity!A:A,0)),0)</f>
        <v>2</v>
      </c>
      <c r="I3">
        <v>1</v>
      </c>
    </row>
    <row r="4" spans="1:9" x14ac:dyDescent="0.2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19" si="0">1/D4</f>
        <v>0.2</v>
      </c>
      <c r="F4" s="2" t="s">
        <v>28</v>
      </c>
      <c r="G4" s="5" t="str">
        <f>INDEX(base_fish!E:E,MATCH(use_fish!B4,base_fish!A:A,0))&amp;_xlfn.IFNA("+"&amp;INDEX(activity!F:F,MATCH(use_fish!C4,activity!A:A,0)),"")</f>
        <v>彩纹鱼</v>
      </c>
      <c r="H4" s="2">
        <f>LOOKUP(use_fish!B4,base_fish!A:A,base_fish!F:F)+_xlfn.IFNA(INDEX(activity!E:E,MATCH(use_fish!C4,activity!A:A,0)),0)</f>
        <v>5</v>
      </c>
      <c r="I4">
        <v>1</v>
      </c>
    </row>
    <row r="5" spans="1:9" x14ac:dyDescent="0.2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28</v>
      </c>
      <c r="G5" s="5" t="str">
        <f>INDEX(base_fish!E:E,MATCH(use_fish!B5,base_fish!A:A,0))&amp;_xlfn.IFNA("+"&amp;INDEX(activity!F:F,MATCH(use_fish!C5,activity!A:A,0)),"")</f>
        <v>蓝河豚</v>
      </c>
      <c r="H5" s="2">
        <f>LOOKUP(use_fish!B5,base_fish!A:A,base_fish!F:F)+_xlfn.IFNA(INDEX(activity!E:E,MATCH(use_fish!C5,activity!A:A,0)),0)</f>
        <v>8</v>
      </c>
      <c r="I5">
        <v>1</v>
      </c>
    </row>
    <row r="6" spans="1:9" x14ac:dyDescent="0.2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28</v>
      </c>
      <c r="G6" s="5" t="str">
        <f>INDEX(base_fish!E:E,MATCH(use_fish!B6,base_fish!A:A,0))&amp;_xlfn.IFNA("+"&amp;INDEX(activity!F:F,MATCH(use_fish!C6,activity!A:A,0)),"")</f>
        <v>小丑鱼</v>
      </c>
      <c r="H6" s="2">
        <f>LOOKUP(use_fish!B6,base_fish!A:A,base_fish!F:F)+_xlfn.IFNA(INDEX(activity!E:E,MATCH(use_fish!C6,activity!A:A,0)),0)</f>
        <v>15</v>
      </c>
      <c r="I6">
        <v>1</v>
      </c>
    </row>
    <row r="7" spans="1:9" x14ac:dyDescent="0.2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28</v>
      </c>
      <c r="G7" s="5" t="str">
        <f>INDEX(base_fish!E:E,MATCH(use_fish!B7,base_fish!A:A,0))&amp;_xlfn.IFNA("+"&amp;INDEX(activity!F:F,MATCH(use_fish!C7,activity!A:A,0)),"")</f>
        <v>蓝灯鱼</v>
      </c>
      <c r="H7" s="2">
        <f>LOOKUP(use_fish!B7,base_fish!A:A,base_fish!F:F)+_xlfn.IFNA(INDEX(activity!E:E,MATCH(use_fish!C7,activity!A:A,0)),0)</f>
        <v>20</v>
      </c>
      <c r="I7">
        <v>1</v>
      </c>
    </row>
    <row r="8" spans="1:9" x14ac:dyDescent="0.2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28</v>
      </c>
      <c r="G8" s="5" t="str">
        <f>INDEX(base_fish!E:E,MATCH(use_fish!B8,base_fish!A:A,0))&amp;_xlfn.IFNA("+"&amp;INDEX(activity!F:F,MATCH(use_fish!C8,activity!A:A,0)),"")</f>
        <v>红杉鱼</v>
      </c>
      <c r="H8" s="2">
        <f>LOOKUP(use_fish!B8,base_fish!A:A,base_fish!F:F)+_xlfn.IFNA(INDEX(activity!E:E,MATCH(use_fish!C8,activity!A:A,0)),0)</f>
        <v>30</v>
      </c>
      <c r="I8">
        <v>1</v>
      </c>
    </row>
    <row r="9" spans="1:9" x14ac:dyDescent="0.2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28</v>
      </c>
      <c r="G9" s="5" t="str">
        <f>INDEX(base_fish!E:E,MATCH(use_fish!B9,base_fish!A:A,0))&amp;_xlfn.IFNA("+"&amp;INDEX(activity!F:F,MATCH(use_fish!C9,activity!A:A,0)),"")</f>
        <v>海龟</v>
      </c>
      <c r="H9" s="2">
        <f>LOOKUP(use_fish!B9,base_fish!A:A,base_fish!F:F)+_xlfn.IFNA(INDEX(activity!E:E,MATCH(use_fish!C9,activity!A:A,0)),0)</f>
        <v>40</v>
      </c>
      <c r="I9">
        <v>1</v>
      </c>
    </row>
    <row r="10" spans="1:9" x14ac:dyDescent="0.2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28</v>
      </c>
      <c r="G10" s="5" t="str">
        <f>INDEX(base_fish!E:E,MATCH(use_fish!B10,base_fish!A:A,0))&amp;_xlfn.IFNA("+"&amp;INDEX(activity!F:F,MATCH(use_fish!C10,activity!A:A,0)),"")</f>
        <v>灯笼鱼</v>
      </c>
      <c r="H10" s="2">
        <f>LOOKUP(use_fish!B10,base_fish!A:A,base_fish!F:F)+_xlfn.IFNA(INDEX(activity!E:E,MATCH(use_fish!C10,activity!A:A,0)),0)</f>
        <v>50</v>
      </c>
      <c r="I10">
        <v>1</v>
      </c>
    </row>
    <row r="11" spans="1:9" x14ac:dyDescent="0.2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28</v>
      </c>
      <c r="G11" s="5" t="str">
        <f>INDEX(base_fish!E:E,MATCH(use_fish!B11,base_fish!A:A,0))&amp;_xlfn.IFNA("+"&amp;INDEX(activity!F:F,MATCH(use_fish!C11,activity!A:A,0)),"")</f>
        <v>魔鬼鱼</v>
      </c>
      <c r="H11" s="2">
        <f>LOOKUP(use_fish!B11,base_fish!A:A,base_fish!F:F)+_xlfn.IFNA(INDEX(activity!E:E,MATCH(use_fish!C11,activity!A:A,0)),0)</f>
        <v>60</v>
      </c>
      <c r="I11">
        <v>1</v>
      </c>
    </row>
    <row r="12" spans="1:9" x14ac:dyDescent="0.2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28</v>
      </c>
      <c r="G12" s="5" t="str">
        <f>INDEX(base_fish!E:E,MATCH(use_fish!B12,base_fish!A:A,0))&amp;_xlfn.IFNA("+"&amp;INDEX(activity!F:F,MATCH(use_fish!C12,activity!A:A,0)),"")</f>
        <v>大白鲨</v>
      </c>
      <c r="H12" s="2">
        <f>LOOKUP(use_fish!B12,base_fish!A:A,base_fish!F:F)+_xlfn.IFNA(INDEX(activity!E:E,MATCH(use_fish!C12,activity!A:A,0)),0)</f>
        <v>70</v>
      </c>
      <c r="I12">
        <v>1</v>
      </c>
    </row>
    <row r="13" spans="1:9" x14ac:dyDescent="0.2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28</v>
      </c>
      <c r="G13" s="5" t="str">
        <f>INDEX(base_fish!E:E,MATCH(use_fish!B13,base_fish!A:A,0))&amp;_xlfn.IFNA("+"&amp;INDEX(activity!F:F,MATCH(use_fish!C13,activity!A:A,0)),"")</f>
        <v>锤头鲨</v>
      </c>
      <c r="H13" s="2">
        <f>LOOKUP(use_fish!B13,base_fish!A:A,base_fish!F:F)+_xlfn.IFNA(INDEX(activity!E:E,MATCH(use_fish!C13,activity!A:A,0)),0)</f>
        <v>100</v>
      </c>
      <c r="I13">
        <v>1</v>
      </c>
    </row>
    <row r="14" spans="1:9" x14ac:dyDescent="0.2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28</v>
      </c>
      <c r="G14" s="5" t="str">
        <f>INDEX(base_fish!E:E,MATCH(use_fish!B14,base_fish!A:A,0))&amp;_xlfn.IFNA("+"&amp;INDEX(activity!F:F,MATCH(use_fish!C14,activity!A:A,0)),"")</f>
        <v>虎鲸</v>
      </c>
      <c r="H14" s="2">
        <f>LOOKUP(use_fish!B14,base_fish!A:A,base_fish!F:F)+_xlfn.IFNA(INDEX(activity!E:E,MATCH(use_fish!C14,activity!A:A,0)),0)</f>
        <v>150</v>
      </c>
      <c r="I14">
        <v>1</v>
      </c>
    </row>
    <row r="15" spans="1:9" x14ac:dyDescent="0.2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28</v>
      </c>
      <c r="G15" s="5" t="str">
        <f>INDEX(base_fish!E:E,MATCH(use_fish!B15,base_fish!A:A,0))&amp;_xlfn.IFNA("+"&amp;INDEX(activity!F:F,MATCH(use_fish!C15,activity!A:A,0)),"")</f>
        <v>黄金海龟</v>
      </c>
      <c r="H15" s="2">
        <f>LOOKUP(use_fish!B15,base_fish!A:A,base_fish!F:F)+_xlfn.IFNA(INDEX(activity!E:E,MATCH(use_fish!C15,activity!A:A,0)),0)</f>
        <v>80</v>
      </c>
      <c r="I15">
        <v>1</v>
      </c>
    </row>
    <row r="16" spans="1:9" x14ac:dyDescent="0.2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28</v>
      </c>
      <c r="G16" s="5" t="str">
        <f>INDEX(base_fish!E:E,MATCH(use_fish!B16,base_fish!A:A,0))&amp;_xlfn.IFNA("+"&amp;INDEX(activity!F:F,MATCH(use_fish!C16,activity!A:A,0)),"")</f>
        <v>黄金灯笼鱼</v>
      </c>
      <c r="H16" s="2">
        <f>LOOKUP(use_fish!B16,base_fish!A:A,base_fish!F:F)+_xlfn.IFNA(INDEX(activity!E:E,MATCH(use_fish!C16,activity!A:A,0)),0)</f>
        <v>100</v>
      </c>
      <c r="I16">
        <v>1</v>
      </c>
    </row>
    <row r="17" spans="1:9" x14ac:dyDescent="0.2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28</v>
      </c>
      <c r="G17" s="5" t="str">
        <f>INDEX(base_fish!E:E,MATCH(use_fish!B17,base_fish!A:A,0))&amp;_xlfn.IFNA("+"&amp;INDEX(activity!F:F,MATCH(use_fish!C17,activity!A:A,0)),"")</f>
        <v>黄金魔鬼鱼</v>
      </c>
      <c r="H17" s="2">
        <f>LOOKUP(use_fish!B17,base_fish!A:A,base_fish!F:F)+_xlfn.IFNA(INDEX(activity!E:E,MATCH(use_fish!C17,activity!A:A,0)),0)</f>
        <v>120</v>
      </c>
      <c r="I17">
        <v>1</v>
      </c>
    </row>
    <row r="18" spans="1:9" x14ac:dyDescent="0.2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28</v>
      </c>
      <c r="G18" s="5" t="str">
        <f>INDEX(base_fish!E:E,MATCH(use_fish!B18,base_fish!A:A,0))&amp;_xlfn.IFNA("+"&amp;INDEX(activity!F:F,MATCH(use_fish!C18,activity!A:A,0)),"")</f>
        <v>黄金大白鲨</v>
      </c>
      <c r="H18" s="2">
        <f>LOOKUP(use_fish!B18,base_fish!A:A,base_fish!F:F)+_xlfn.IFNA(INDEX(activity!E:E,MATCH(use_fish!C18,activity!A:A,0)),0)</f>
        <v>140</v>
      </c>
      <c r="I18">
        <v>1</v>
      </c>
    </row>
    <row r="19" spans="1:9" x14ac:dyDescent="0.2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28</v>
      </c>
      <c r="G19" s="5" t="str">
        <f>INDEX(base_fish!E:E,MATCH(use_fish!B19,base_fish!A:A,0))&amp;_xlfn.IFNA("+"&amp;INDEX(activity!F:F,MATCH(use_fish!C19,activity!A:A,0)),"")</f>
        <v>黄金锤头鲨</v>
      </c>
      <c r="H19" s="2">
        <f>LOOKUP(use_fish!B19,base_fish!A:A,base_fish!F:F)+_xlfn.IFNA(INDEX(activity!E:E,MATCH(use_fish!C19,activity!A:A,0)),0)</f>
        <v>200</v>
      </c>
      <c r="I19">
        <v>1</v>
      </c>
    </row>
    <row r="20" spans="1:9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ref="E20:E24" si="1">1/D20</f>
        <v>1.2048192771084338E-2</v>
      </c>
      <c r="F20" s="2" t="s">
        <v>28</v>
      </c>
      <c r="G20" s="5" t="str">
        <f>INDEX(base_fish!E:E,MATCH(use_fish!B20,base_fish!A:A,0))&amp;_xlfn.IFNA("+"&amp;INDEX(activity!F:F,MATCH(use_fish!C20,activity!A:A,0)),"")</f>
        <v>蓝灯鱼+威力提升</v>
      </c>
      <c r="H20" s="2">
        <f>LOOKUP(use_fish!B20,base_fish!A:A,base_fish!F:F)+_xlfn.IFNA(INDEX(activity!E:E,MATCH(use_fish!C20,activity!A:A,0)),0)</f>
        <v>83</v>
      </c>
      <c r="I20">
        <v>1</v>
      </c>
    </row>
    <row r="21" spans="1:9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1"/>
        <v>1.2048192771084338E-2</v>
      </c>
      <c r="F21" s="2" t="s">
        <v>28</v>
      </c>
      <c r="G21" s="5" t="str">
        <f>INDEX(base_fish!E:E,MATCH(use_fish!B21,base_fish!A:A,0))&amp;_xlfn.IFNA("+"&amp;INDEX(activity!F:F,MATCH(use_fish!C21,activity!A:A,0)),"")</f>
        <v>蓝灯鱼+暴击时刻</v>
      </c>
      <c r="H21" s="2">
        <f>LOOKUP(use_fish!B21,base_fish!A:A,base_fish!F:F)+_xlfn.IFNA(INDEX(activity!E:E,MATCH(use_fish!C21,activity!A:A,0)),0)</f>
        <v>83</v>
      </c>
      <c r="I21">
        <v>1</v>
      </c>
    </row>
    <row r="22" spans="1:9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1"/>
        <v>1.4285714285714285E-2</v>
      </c>
      <c r="F22" s="2" t="s">
        <v>28</v>
      </c>
      <c r="G22" s="5" t="str">
        <f>INDEX(base_fish!E:E,MATCH(use_fish!B22,base_fish!A:A,0))&amp;_xlfn.IFNA("+"&amp;INDEX(activity!F:F,MATCH(use_fish!C22,activity!A:A,0)),"")</f>
        <v>蓝灯鱼+闪电</v>
      </c>
      <c r="H22" s="2">
        <f>LOOKUP(use_fish!B22,base_fish!A:A,base_fish!F:F)+_xlfn.IFNA(INDEX(activity!E:E,MATCH(use_fish!C22,activity!A:A,0)),0)</f>
        <v>70</v>
      </c>
      <c r="I22">
        <v>1</v>
      </c>
    </row>
    <row r="23" spans="1:9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1"/>
        <v>1.4285714285714285E-2</v>
      </c>
      <c r="F23" s="2" t="s">
        <v>28</v>
      </c>
      <c r="G23" s="5" t="str">
        <f>INDEX(base_fish!E:E,MATCH(use_fish!B23,base_fish!A:A,0))&amp;_xlfn.IFNA("+"&amp;INDEX(activity!F:F,MATCH(use_fish!C23,activity!A:A,0)),"")</f>
        <v>蓝灯鱼+免费子弹</v>
      </c>
      <c r="H23" s="2">
        <f>LOOKUP(use_fish!B23,base_fish!A:A,base_fish!F:F)+_xlfn.IFNA(INDEX(activity!E:E,MATCH(use_fish!C23,activity!A:A,0)),0)</f>
        <v>70</v>
      </c>
      <c r="I23">
        <v>1</v>
      </c>
    </row>
    <row r="24" spans="1:9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1"/>
        <v>1.4285714285714285E-2</v>
      </c>
      <c r="F24" s="2" t="s">
        <v>28</v>
      </c>
      <c r="G24" s="5" t="str">
        <f>INDEX(base_fish!E:E,MATCH(use_fish!B24,base_fish!A:A,0))&amp;_xlfn.IFNA("+"&amp;INDEX(activity!F:F,MATCH(use_fish!C24,activity!A:A,0)),"")</f>
        <v>蓝灯鱼+闪电</v>
      </c>
      <c r="H24" s="2">
        <f>LOOKUP(use_fish!B24,base_fish!A:A,base_fish!F:F)+_xlfn.IFNA(INDEX(activity!E:E,MATCH(use_fish!C24,activity!A:A,0)),0)</f>
        <v>70</v>
      </c>
      <c r="I24">
        <v>1</v>
      </c>
    </row>
    <row r="25" spans="1:9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ref="E25:E29" si="2">1/D25</f>
        <v>1.0752688172043012E-2</v>
      </c>
      <c r="F25" s="2" t="s">
        <v>28</v>
      </c>
      <c r="G25" s="5" t="str">
        <f>INDEX(base_fish!E:E,MATCH(use_fish!B25,base_fish!A:A,0))&amp;_xlfn.IFNA("+"&amp;INDEX(activity!F:F,MATCH(use_fish!C25,activity!A:A,0)),"")</f>
        <v>红杉鱼+威力提升</v>
      </c>
      <c r="H25" s="2">
        <f>LOOKUP(use_fish!B25,base_fish!A:A,base_fish!F:F)+_xlfn.IFNA(INDEX(activity!E:E,MATCH(use_fish!C25,activity!A:A,0)),0)</f>
        <v>93</v>
      </c>
      <c r="I25">
        <v>1</v>
      </c>
    </row>
    <row r="26" spans="1:9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2"/>
        <v>1.0752688172043012E-2</v>
      </c>
      <c r="F26" s="2" t="s">
        <v>28</v>
      </c>
      <c r="G26" s="5" t="str">
        <f>INDEX(base_fish!E:E,MATCH(use_fish!B26,base_fish!A:A,0))&amp;_xlfn.IFNA("+"&amp;INDEX(activity!F:F,MATCH(use_fish!C26,activity!A:A,0)),"")</f>
        <v>红杉鱼+暴击时刻</v>
      </c>
      <c r="H26" s="2">
        <f>LOOKUP(use_fish!B26,base_fish!A:A,base_fish!F:F)+_xlfn.IFNA(INDEX(activity!E:E,MATCH(use_fish!C26,activity!A:A,0)),0)</f>
        <v>93</v>
      </c>
      <c r="I26">
        <v>1</v>
      </c>
    </row>
    <row r="27" spans="1:9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2"/>
        <v>1.2500000000000001E-2</v>
      </c>
      <c r="F27" s="2" t="s">
        <v>28</v>
      </c>
      <c r="G27" s="5" t="str">
        <f>INDEX(base_fish!E:E,MATCH(use_fish!B27,base_fish!A:A,0))&amp;_xlfn.IFNA("+"&amp;INDEX(activity!F:F,MATCH(use_fish!C27,activity!A:A,0)),"")</f>
        <v>红杉鱼+闪电</v>
      </c>
      <c r="H27" s="2">
        <f>LOOKUP(use_fish!B27,base_fish!A:A,base_fish!F:F)+_xlfn.IFNA(INDEX(activity!E:E,MATCH(use_fish!C27,activity!A:A,0)),0)</f>
        <v>80</v>
      </c>
      <c r="I27">
        <v>1</v>
      </c>
    </row>
    <row r="28" spans="1:9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2"/>
        <v>1.2500000000000001E-2</v>
      </c>
      <c r="F28" s="2" t="s">
        <v>28</v>
      </c>
      <c r="G28" s="5" t="str">
        <f>INDEX(base_fish!E:E,MATCH(use_fish!B28,base_fish!A:A,0))&amp;_xlfn.IFNA("+"&amp;INDEX(activity!F:F,MATCH(use_fish!C28,activity!A:A,0)),"")</f>
        <v>红杉鱼+免费子弹</v>
      </c>
      <c r="H28" s="2">
        <f>LOOKUP(use_fish!B28,base_fish!A:A,base_fish!F:F)+_xlfn.IFNA(INDEX(activity!E:E,MATCH(use_fish!C28,activity!A:A,0)),0)</f>
        <v>80</v>
      </c>
      <c r="I28">
        <v>1</v>
      </c>
    </row>
    <row r="29" spans="1:9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LOOKUP(use_fish!B29,base_fish!A:A,base_fish!C:C)+_xlfn.IFNA(INDEX(activity!E:E,MATCH(use_fish!C29,activity!A:A,0)),0)</f>
        <v>80</v>
      </c>
      <c r="E29" s="2">
        <f t="shared" si="2"/>
        <v>1.2500000000000001E-2</v>
      </c>
      <c r="F29" s="2" t="s">
        <v>28</v>
      </c>
      <c r="G29" s="5" t="str">
        <f>INDEX(base_fish!E:E,MATCH(use_fish!B29,base_fish!A:A,0))&amp;_xlfn.IFNA("+"&amp;INDEX(activity!F:F,MATCH(use_fish!C29,activity!A:A,0)),"")</f>
        <v>红杉鱼+闪电</v>
      </c>
      <c r="H29" s="2">
        <f>LOOKUP(use_fish!B29,base_fish!A:A,base_fish!F:F)+_xlfn.IFNA(INDEX(activity!E:E,MATCH(use_fish!C29,activity!A:A,0)),0)</f>
        <v>80</v>
      </c>
      <c r="I29">
        <v>1</v>
      </c>
    </row>
    <row r="30" spans="1:9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ref="E30:E34" si="3">1/D30</f>
        <v>9.7087378640776691E-3</v>
      </c>
      <c r="F30" s="2" t="s">
        <v>28</v>
      </c>
      <c r="G30" s="5" t="str">
        <f>INDEX(base_fish!E:E,MATCH(use_fish!B30,base_fish!A:A,0))&amp;_xlfn.IFNA("+"&amp;INDEX(activity!F:F,MATCH(use_fish!C30,activity!A:A,0)),"")</f>
        <v>海龟+威力提升</v>
      </c>
      <c r="H30" s="2">
        <f>LOOKUP(use_fish!B30,base_fish!A:A,base_fish!F:F)+_xlfn.IFNA(INDEX(activity!E:E,MATCH(use_fish!C30,activity!A:A,0)),0)</f>
        <v>103</v>
      </c>
      <c r="I30">
        <v>1</v>
      </c>
    </row>
    <row r="31" spans="1:9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INDEX(base_fish!E:E,MATCH(use_fish!B31,base_fish!A:A,0))&amp;_xlfn.IFNA("+"&amp;INDEX(activity!F:F,MATCH(use_fish!C31,activity!A:A,0)),"")</f>
        <v>海龟+暴击时刻</v>
      </c>
      <c r="H31" s="2">
        <f>LOOKUP(use_fish!B31,base_fish!A:A,base_fish!F:F)+_xlfn.IFNA(INDEX(activity!E:E,MATCH(use_fish!C31,activity!A:A,0)),0)</f>
        <v>103</v>
      </c>
      <c r="I31">
        <v>1</v>
      </c>
    </row>
    <row r="32" spans="1:9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INDEX(base_fish!E:E,MATCH(use_fish!B32,base_fish!A:A,0))&amp;_xlfn.IFNA("+"&amp;INDEX(activity!F:F,MATCH(use_fish!C32,activity!A:A,0)),"")</f>
        <v>海龟+闪电</v>
      </c>
      <c r="H32" s="2">
        <f>LOOKUP(use_fish!B32,base_fish!A:A,base_fish!F:F)+_xlfn.IFNA(INDEX(activity!E:E,MATCH(use_fish!C32,activity!A:A,0)),0)</f>
        <v>90</v>
      </c>
      <c r="I32">
        <v>1</v>
      </c>
    </row>
    <row r="33" spans="1:9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INDEX(base_fish!E:E,MATCH(use_fish!B33,base_fish!A:A,0))&amp;_xlfn.IFNA("+"&amp;INDEX(activity!F:F,MATCH(use_fish!C33,activity!A:A,0)),"")</f>
        <v>海龟+免费子弹</v>
      </c>
      <c r="H33" s="2">
        <f>LOOKUP(use_fish!B33,base_fish!A:A,base_fish!F:F)+_xlfn.IFNA(INDEX(activity!E:E,MATCH(use_fish!C33,activity!A:A,0)),0)</f>
        <v>90</v>
      </c>
      <c r="I33">
        <v>1</v>
      </c>
    </row>
    <row r="34" spans="1:9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LOOKUP(use_fish!B34,base_fish!A:A,base_fish!C:C)+_xlfn.IFNA(INDEX(activity!E:E,MATCH(use_fish!C34,activity!A:A,0)),0)</f>
        <v>90</v>
      </c>
      <c r="E34" s="2">
        <f t="shared" si="3"/>
        <v>1.1111111111111112E-2</v>
      </c>
      <c r="F34" s="2" t="s">
        <v>28</v>
      </c>
      <c r="G34" s="5" t="str">
        <f>INDEX(base_fish!E:E,MATCH(use_fish!B34,base_fish!A:A,0))&amp;_xlfn.IFNA("+"&amp;INDEX(activity!F:F,MATCH(use_fish!C34,activity!A:A,0)),"")</f>
        <v>海龟+闪电</v>
      </c>
      <c r="H34" s="2">
        <f>LOOKUP(use_fish!B34,base_fish!A:A,base_fish!F:F)+_xlfn.IFNA(INDEX(activity!E:E,MATCH(use_fish!C34,activity!A:A,0)),0)</f>
        <v>90</v>
      </c>
      <c r="I34">
        <v>1</v>
      </c>
    </row>
    <row r="35" spans="1:9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ref="E35:E102" si="4">1/D35</f>
        <v>2.5000000000000001E-2</v>
      </c>
      <c r="F35" s="2" t="s">
        <v>28</v>
      </c>
      <c r="G35" s="5" t="str">
        <f>INDEX(base_fish!E:E,MATCH(use_fish!B35,base_fish!A:A,0))&amp;_xlfn.IFNA("+"&amp;INDEX(activity!F:F,MATCH(use_fish!C35,activity!A:A,0)),"")</f>
        <v>海龟+锁定卡</v>
      </c>
      <c r="H35" s="2">
        <f>LOOKUP(use_fish!B35,base_fish!A:A,base_fish!F:F)+_xlfn.IFNA(INDEX(activity!E:E,MATCH(use_fish!C35,activity!A:A,0)),0)</f>
        <v>40</v>
      </c>
      <c r="I35">
        <v>1</v>
      </c>
    </row>
    <row r="36" spans="1:9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4"/>
        <v>2.5000000000000001E-2</v>
      </c>
      <c r="F36" s="2" t="s">
        <v>28</v>
      </c>
      <c r="G36" s="5" t="str">
        <f>INDEX(base_fish!E:E,MATCH(use_fish!B36,base_fish!A:A,0))&amp;_xlfn.IFNA("+"&amp;INDEX(activity!F:F,MATCH(use_fish!C36,activity!A:A,0)),"")</f>
        <v>海龟+冰冻卡</v>
      </c>
      <c r="H36" s="2">
        <f>LOOKUP(use_fish!B36,base_fish!A:A,base_fish!F:F)+_xlfn.IFNA(INDEX(activity!E:E,MATCH(use_fish!C36,activity!A:A,0)),0)</f>
        <v>40</v>
      </c>
      <c r="I36">
        <v>1</v>
      </c>
    </row>
    <row r="37" spans="1:9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ref="E37:E42" si="5">1/D37</f>
        <v>8.8495575221238937E-3</v>
      </c>
      <c r="F37" s="2" t="s">
        <v>28</v>
      </c>
      <c r="G37" s="5" t="str">
        <f>INDEX(base_fish!E:E,MATCH(use_fish!B37,base_fish!A:A,0))&amp;_xlfn.IFNA("+"&amp;INDEX(activity!F:F,MATCH(use_fish!C37,activity!A:A,0)),"")</f>
        <v>灯笼鱼+威力提升</v>
      </c>
      <c r="H37" s="2">
        <f>LOOKUP(use_fish!B37,base_fish!A:A,base_fish!F:F)+_xlfn.IFNA(INDEX(activity!E:E,MATCH(use_fish!C37,activity!A:A,0)),0)</f>
        <v>113</v>
      </c>
      <c r="I37">
        <v>1</v>
      </c>
    </row>
    <row r="38" spans="1:9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5"/>
        <v>8.8495575221238937E-3</v>
      </c>
      <c r="F38" s="2" t="s">
        <v>28</v>
      </c>
      <c r="G38" s="5" t="str">
        <f>INDEX(base_fish!E:E,MATCH(use_fish!B38,base_fish!A:A,0))&amp;_xlfn.IFNA("+"&amp;INDEX(activity!F:F,MATCH(use_fish!C38,activity!A:A,0)),"")</f>
        <v>灯笼鱼+暴击时刻</v>
      </c>
      <c r="H38" s="2">
        <f>LOOKUP(use_fish!B38,base_fish!A:A,base_fish!F:F)+_xlfn.IFNA(INDEX(activity!E:E,MATCH(use_fish!C38,activity!A:A,0)),0)</f>
        <v>113</v>
      </c>
      <c r="I38">
        <v>1</v>
      </c>
    </row>
    <row r="39" spans="1:9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5"/>
        <v>0.01</v>
      </c>
      <c r="F39" s="2" t="s">
        <v>28</v>
      </c>
      <c r="G39" s="5" t="str">
        <f>INDEX(base_fish!E:E,MATCH(use_fish!B39,base_fish!A:A,0))&amp;_xlfn.IFNA("+"&amp;INDEX(activity!F:F,MATCH(use_fish!C39,activity!A:A,0)),"")</f>
        <v>灯笼鱼+闪电</v>
      </c>
      <c r="H39" s="2">
        <f>LOOKUP(use_fish!B39,base_fish!A:A,base_fish!F:F)+_xlfn.IFNA(INDEX(activity!E:E,MATCH(use_fish!C39,activity!A:A,0)),0)</f>
        <v>100</v>
      </c>
      <c r="I39">
        <v>1</v>
      </c>
    </row>
    <row r="40" spans="1:9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5"/>
        <v>0.01</v>
      </c>
      <c r="F40" s="2" t="s">
        <v>28</v>
      </c>
      <c r="G40" s="5" t="str">
        <f>INDEX(base_fish!E:E,MATCH(use_fish!B40,base_fish!A:A,0))&amp;_xlfn.IFNA("+"&amp;INDEX(activity!F:F,MATCH(use_fish!C40,activity!A:A,0)),"")</f>
        <v>灯笼鱼+免费子弹</v>
      </c>
      <c r="H40" s="2">
        <f>LOOKUP(use_fish!B40,base_fish!A:A,base_fish!F:F)+_xlfn.IFNA(INDEX(activity!E:E,MATCH(use_fish!C40,activity!A:A,0)),0)</f>
        <v>100</v>
      </c>
      <c r="I40">
        <v>1</v>
      </c>
    </row>
    <row r="41" spans="1:9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LOOKUP(use_fish!B41,base_fish!A:A,base_fish!C:C)+_xlfn.IFNA(INDEX(activity!E:E,MATCH(use_fish!C41,activity!A:A,0)),0)</f>
        <v>100</v>
      </c>
      <c r="E41" s="2">
        <f t="shared" si="5"/>
        <v>0.01</v>
      </c>
      <c r="F41" s="2" t="s">
        <v>28</v>
      </c>
      <c r="G41" s="5" t="str">
        <f>INDEX(base_fish!E:E,MATCH(use_fish!B41,base_fish!A:A,0))&amp;_xlfn.IFNA("+"&amp;INDEX(activity!F:F,MATCH(use_fish!C41,activity!A:A,0)),"")</f>
        <v>灯笼鱼+闪电</v>
      </c>
      <c r="H41" s="2">
        <f>LOOKUP(use_fish!B41,base_fish!A:A,base_fish!F:F)+_xlfn.IFNA(INDEX(activity!E:E,MATCH(use_fish!C41,activity!A:A,0)),0)</f>
        <v>100</v>
      </c>
      <c r="I41">
        <v>1</v>
      </c>
    </row>
    <row r="42" spans="1:9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5"/>
        <v>0.02</v>
      </c>
      <c r="F42" s="2" t="s">
        <v>28</v>
      </c>
      <c r="G42" s="5" t="str">
        <f>INDEX(base_fish!E:E,MATCH(use_fish!B42,base_fish!A:A,0))&amp;_xlfn.IFNA("+"&amp;INDEX(activity!F:F,MATCH(use_fish!C42,activity!A:A,0)),"")</f>
        <v>灯笼鱼+锁定卡</v>
      </c>
      <c r="H42" s="2">
        <f>LOOKUP(use_fish!B42,base_fish!A:A,base_fish!F:F)+_xlfn.IFNA(INDEX(activity!E:E,MATCH(use_fish!C42,activity!A:A,0)),0)</f>
        <v>50</v>
      </c>
      <c r="I42">
        <v>1</v>
      </c>
    </row>
    <row r="43" spans="1:9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 t="shared" si="4"/>
        <v>0.02</v>
      </c>
      <c r="F43" s="2" t="s">
        <v>28</v>
      </c>
      <c r="G43" s="5" t="str">
        <f>INDEX(base_fish!E:E,MATCH(use_fish!B43,base_fish!A:A,0))&amp;_xlfn.IFNA("+"&amp;INDEX(activity!F:F,MATCH(use_fish!C43,activity!A:A,0)),"")</f>
        <v>灯笼鱼+冰冻卡</v>
      </c>
      <c r="H43" s="2">
        <f>LOOKUP(use_fish!B43,base_fish!A:A,base_fish!F:F)+_xlfn.IFNA(INDEX(activity!E:E,MATCH(use_fish!C43,activity!A:A,0)),0)</f>
        <v>50</v>
      </c>
      <c r="I43">
        <v>1</v>
      </c>
    </row>
    <row r="44" spans="1:9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 t="shared" si="4"/>
        <v>1.2500000000000001E-2</v>
      </c>
      <c r="F44" s="2" t="s">
        <v>28</v>
      </c>
      <c r="G44" s="5" t="str">
        <f>INDEX(base_fish!E:E,MATCH(use_fish!B44,base_fish!A:A,0))&amp;_xlfn.IFNA("+"&amp;INDEX(activity!F:F,MATCH(use_fish!C44,activity!A:A,0)),"")</f>
        <v>灯笼鱼+炸弹</v>
      </c>
      <c r="H44" s="2">
        <f>LOOKUP(use_fish!B44,base_fish!A:A,base_fish!F:F)+_xlfn.IFNA(INDEX(activity!E:E,MATCH(use_fish!C44,activity!A:A,0)),0)</f>
        <v>80</v>
      </c>
      <c r="I44">
        <v>1</v>
      </c>
    </row>
    <row r="45" spans="1:9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 t="shared" si="4"/>
        <v>1.4285714285714285E-2</v>
      </c>
      <c r="F45" s="2" t="s">
        <v>28</v>
      </c>
      <c r="G45" s="5" t="str">
        <f>INDEX(base_fish!E:E,MATCH(use_fish!B45,base_fish!A:A,0))&amp;_xlfn.IFNA("+"&amp;INDEX(activity!F:F,MATCH(use_fish!C45,activity!A:A,0)),"")</f>
        <v>灯笼鱼+炸弹</v>
      </c>
      <c r="H45" s="2">
        <f>LOOKUP(use_fish!B45,base_fish!A:A,base_fish!F:F)+_xlfn.IFNA(INDEX(activity!E:E,MATCH(use_fish!C45,activity!A:A,0)),0)</f>
        <v>70</v>
      </c>
      <c r="I45">
        <v>1</v>
      </c>
    </row>
    <row r="46" spans="1:9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6">1/D46</f>
        <v>8.130081300813009E-3</v>
      </c>
      <c r="F46" s="2" t="s">
        <v>28</v>
      </c>
      <c r="G46" s="5" t="str">
        <f>INDEX(base_fish!E:E,MATCH(use_fish!B46,base_fish!A:A,0))&amp;_xlfn.IFNA("+"&amp;INDEX(activity!F:F,MATCH(use_fish!C46,activity!A:A,0)),"")</f>
        <v>魔鬼鱼+威力提升</v>
      </c>
      <c r="H46" s="2">
        <f>LOOKUP(use_fish!B46,base_fish!A:A,base_fish!F:F)+_xlfn.IFNA(INDEX(activity!E:E,MATCH(use_fish!C46,activity!A:A,0)),0)</f>
        <v>123</v>
      </c>
      <c r="I46">
        <v>1</v>
      </c>
    </row>
    <row r="47" spans="1:9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6"/>
        <v>8.130081300813009E-3</v>
      </c>
      <c r="F47" s="2" t="s">
        <v>28</v>
      </c>
      <c r="G47" s="5" t="str">
        <f>INDEX(base_fish!E:E,MATCH(use_fish!B47,base_fish!A:A,0))&amp;_xlfn.IFNA("+"&amp;INDEX(activity!F:F,MATCH(use_fish!C47,activity!A:A,0)),"")</f>
        <v>魔鬼鱼+暴击时刻</v>
      </c>
      <c r="H47" s="2">
        <f>LOOKUP(use_fish!B47,base_fish!A:A,base_fish!F:F)+_xlfn.IFNA(INDEX(activity!E:E,MATCH(use_fish!C47,activity!A:A,0)),0)</f>
        <v>123</v>
      </c>
      <c r="I47">
        <v>1</v>
      </c>
    </row>
    <row r="48" spans="1:9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6"/>
        <v>9.0909090909090905E-3</v>
      </c>
      <c r="F48" s="2" t="s">
        <v>28</v>
      </c>
      <c r="G48" s="5" t="str">
        <f>INDEX(base_fish!E:E,MATCH(use_fish!B48,base_fish!A:A,0))&amp;_xlfn.IFNA("+"&amp;INDEX(activity!F:F,MATCH(use_fish!C48,activity!A:A,0)),"")</f>
        <v>魔鬼鱼+闪电</v>
      </c>
      <c r="H48" s="2">
        <f>LOOKUP(use_fish!B48,base_fish!A:A,base_fish!F:F)+_xlfn.IFNA(INDEX(activity!E:E,MATCH(use_fish!C48,activity!A:A,0)),0)</f>
        <v>110</v>
      </c>
      <c r="I48">
        <v>1</v>
      </c>
    </row>
    <row r="49" spans="1:9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6"/>
        <v>9.0909090909090905E-3</v>
      </c>
      <c r="F49" s="2" t="s">
        <v>28</v>
      </c>
      <c r="G49" s="5" t="str">
        <f>INDEX(base_fish!E:E,MATCH(use_fish!B49,base_fish!A:A,0))&amp;_xlfn.IFNA("+"&amp;INDEX(activity!F:F,MATCH(use_fish!C49,activity!A:A,0)),"")</f>
        <v>魔鬼鱼+免费子弹</v>
      </c>
      <c r="H49" s="2">
        <f>LOOKUP(use_fish!B49,base_fish!A:A,base_fish!F:F)+_xlfn.IFNA(INDEX(activity!E:E,MATCH(use_fish!C49,activity!A:A,0)),0)</f>
        <v>110</v>
      </c>
      <c r="I49">
        <v>1</v>
      </c>
    </row>
    <row r="50" spans="1:9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LOOKUP(use_fish!B50,base_fish!A:A,base_fish!C:C)+_xlfn.IFNA(INDEX(activity!E:E,MATCH(use_fish!C50,activity!A:A,0)),0)</f>
        <v>110</v>
      </c>
      <c r="E50" s="2">
        <f t="shared" si="6"/>
        <v>9.0909090909090905E-3</v>
      </c>
      <c r="F50" s="2" t="s">
        <v>28</v>
      </c>
      <c r="G50" s="5" t="str">
        <f>INDEX(base_fish!E:E,MATCH(use_fish!B50,base_fish!A:A,0))&amp;_xlfn.IFNA("+"&amp;INDEX(activity!F:F,MATCH(use_fish!C50,activity!A:A,0)),"")</f>
        <v>魔鬼鱼+闪电</v>
      </c>
      <c r="H50" s="2">
        <f>LOOKUP(use_fish!B50,base_fish!A:A,base_fish!F:F)+_xlfn.IFNA(INDEX(activity!E:E,MATCH(use_fish!C50,activity!A:A,0)),0)</f>
        <v>110</v>
      </c>
      <c r="I50">
        <v>1</v>
      </c>
    </row>
    <row r="51" spans="1:9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6"/>
        <v>1.6666666666666666E-2</v>
      </c>
      <c r="F51" s="2" t="s">
        <v>28</v>
      </c>
      <c r="G51" s="5" t="str">
        <f>INDEX(base_fish!E:E,MATCH(use_fish!B51,base_fish!A:A,0))&amp;_xlfn.IFNA("+"&amp;INDEX(activity!F:F,MATCH(use_fish!C51,activity!A:A,0)),"")</f>
        <v>魔鬼鱼+锁定卡</v>
      </c>
      <c r="H51" s="2">
        <f>LOOKUP(use_fish!B51,base_fish!A:A,base_fish!F:F)+_xlfn.IFNA(INDEX(activity!E:E,MATCH(use_fish!C51,activity!A:A,0)),0)</f>
        <v>60</v>
      </c>
      <c r="I51">
        <v>1</v>
      </c>
    </row>
    <row r="52" spans="1:9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 t="shared" si="4"/>
        <v>1.6666666666666666E-2</v>
      </c>
      <c r="F52" s="2" t="s">
        <v>28</v>
      </c>
      <c r="G52" s="5" t="str">
        <f>INDEX(base_fish!E:E,MATCH(use_fish!B52,base_fish!A:A,0))&amp;_xlfn.IFNA("+"&amp;INDEX(activity!F:F,MATCH(use_fish!C52,activity!A:A,0)),"")</f>
        <v>魔鬼鱼+冰冻卡</v>
      </c>
      <c r="H52" s="2">
        <f>LOOKUP(use_fish!B52,base_fish!A:A,base_fish!F:F)+_xlfn.IFNA(INDEX(activity!E:E,MATCH(use_fish!C52,activity!A:A,0)),0)</f>
        <v>60</v>
      </c>
      <c r="I52">
        <v>1</v>
      </c>
    </row>
    <row r="53" spans="1:9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 t="shared" si="4"/>
        <v>1.6666666666666666E-2</v>
      </c>
      <c r="F53" s="2" t="s">
        <v>28</v>
      </c>
      <c r="G53" s="5" t="str">
        <f>INDEX(base_fish!E:E,MATCH(use_fish!B53,base_fish!A:A,0))&amp;_xlfn.IFNA("+"&amp;INDEX(activity!F:F,MATCH(use_fish!C53,activity!A:A,0)),"")</f>
        <v>魔鬼鱼+冰冻卡</v>
      </c>
      <c r="H53" s="2">
        <f>LOOKUP(use_fish!B53,base_fish!A:A,base_fish!F:F)+_xlfn.IFNA(INDEX(activity!E:E,MATCH(use_fish!C53,activity!A:A,0)),0)</f>
        <v>60</v>
      </c>
      <c r="I53">
        <v>1</v>
      </c>
    </row>
    <row r="54" spans="1:9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 t="shared" si="4"/>
        <v>1.1111111111111112E-2</v>
      </c>
      <c r="F54" s="2" t="s">
        <v>28</v>
      </c>
      <c r="G54" s="5" t="str">
        <f>INDEX(base_fish!E:E,MATCH(use_fish!B54,base_fish!A:A,0))&amp;_xlfn.IFNA("+"&amp;INDEX(activity!F:F,MATCH(use_fish!C54,activity!A:A,0)),"")</f>
        <v>魔鬼鱼+炸弹</v>
      </c>
      <c r="H54" s="2">
        <f>LOOKUP(use_fish!B54,base_fish!A:A,base_fish!F:F)+_xlfn.IFNA(INDEX(activity!E:E,MATCH(use_fish!C54,activity!A:A,0)),0)</f>
        <v>90</v>
      </c>
      <c r="I54">
        <v>1</v>
      </c>
    </row>
    <row r="55" spans="1:9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 t="shared" si="4"/>
        <v>1.2500000000000001E-2</v>
      </c>
      <c r="F55" s="2" t="s">
        <v>28</v>
      </c>
      <c r="G55" s="5" t="str">
        <f>INDEX(base_fish!E:E,MATCH(use_fish!B55,base_fish!A:A,0))&amp;_xlfn.IFNA("+"&amp;INDEX(activity!F:F,MATCH(use_fish!C55,activity!A:A,0)),"")</f>
        <v>魔鬼鱼+炸弹</v>
      </c>
      <c r="H55" s="2">
        <f>LOOKUP(use_fish!B55,base_fish!A:A,base_fish!F:F)+_xlfn.IFNA(INDEX(activity!E:E,MATCH(use_fish!C55,activity!A:A,0)),0)</f>
        <v>80</v>
      </c>
      <c r="I55">
        <v>1</v>
      </c>
    </row>
    <row r="56" spans="1:9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62" si="7">1/D56</f>
        <v>7.5187969924812026E-3</v>
      </c>
      <c r="F56" s="2" t="s">
        <v>28</v>
      </c>
      <c r="G56" s="5" t="str">
        <f>INDEX(base_fish!E:E,MATCH(use_fish!B56,base_fish!A:A,0))&amp;_xlfn.IFNA("+"&amp;INDEX(activity!F:F,MATCH(use_fish!C56,activity!A:A,0)),"")</f>
        <v>大白鲨+威力提升</v>
      </c>
      <c r="H56" s="2">
        <f>LOOKUP(use_fish!B56,base_fish!A:A,base_fish!F:F)+_xlfn.IFNA(INDEX(activity!E:E,MATCH(use_fish!C56,activity!A:A,0)),0)</f>
        <v>133</v>
      </c>
      <c r="I56">
        <v>1</v>
      </c>
    </row>
    <row r="57" spans="1:9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7"/>
        <v>7.5187969924812026E-3</v>
      </c>
      <c r="F57" s="2" t="s">
        <v>28</v>
      </c>
      <c r="G57" s="5" t="str">
        <f>INDEX(base_fish!E:E,MATCH(use_fish!B57,base_fish!A:A,0))&amp;_xlfn.IFNA("+"&amp;INDEX(activity!F:F,MATCH(use_fish!C57,activity!A:A,0)),"")</f>
        <v>大白鲨+暴击时刻</v>
      </c>
      <c r="H57" s="2">
        <f>LOOKUP(use_fish!B57,base_fish!A:A,base_fish!F:F)+_xlfn.IFNA(INDEX(activity!E:E,MATCH(use_fish!C57,activity!A:A,0)),0)</f>
        <v>133</v>
      </c>
      <c r="I57">
        <v>1</v>
      </c>
    </row>
    <row r="58" spans="1:9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7"/>
        <v>8.3333333333333332E-3</v>
      </c>
      <c r="F58" s="2" t="s">
        <v>28</v>
      </c>
      <c r="G58" s="5" t="str">
        <f>INDEX(base_fish!E:E,MATCH(use_fish!B58,base_fish!A:A,0))&amp;_xlfn.IFNA("+"&amp;INDEX(activity!F:F,MATCH(use_fish!C58,activity!A:A,0)),"")</f>
        <v>大白鲨+闪电</v>
      </c>
      <c r="H58" s="2">
        <f>LOOKUP(use_fish!B58,base_fish!A:A,base_fish!F:F)+_xlfn.IFNA(INDEX(activity!E:E,MATCH(use_fish!C58,activity!A:A,0)),0)</f>
        <v>120</v>
      </c>
      <c r="I58">
        <v>1</v>
      </c>
    </row>
    <row r="59" spans="1:9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7"/>
        <v>8.3333333333333332E-3</v>
      </c>
      <c r="F59" s="2" t="s">
        <v>28</v>
      </c>
      <c r="G59" s="5" t="str">
        <f>INDEX(base_fish!E:E,MATCH(use_fish!B59,base_fish!A:A,0))&amp;_xlfn.IFNA("+"&amp;INDEX(activity!F:F,MATCH(use_fish!C59,activity!A:A,0)),"")</f>
        <v>大白鲨+免费子弹</v>
      </c>
      <c r="H59" s="2">
        <f>LOOKUP(use_fish!B59,base_fish!A:A,base_fish!F:F)+_xlfn.IFNA(INDEX(activity!E:E,MATCH(use_fish!C59,activity!A:A,0)),0)</f>
        <v>120</v>
      </c>
      <c r="I59">
        <v>1</v>
      </c>
    </row>
    <row r="60" spans="1:9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LOOKUP(use_fish!B60,base_fish!A:A,base_fish!C:C)+_xlfn.IFNA(INDEX(activity!E:E,MATCH(use_fish!C60,activity!A:A,0)),0)</f>
        <v>120</v>
      </c>
      <c r="E60" s="2">
        <f t="shared" si="7"/>
        <v>8.3333333333333332E-3</v>
      </c>
      <c r="F60" s="2" t="s">
        <v>28</v>
      </c>
      <c r="G60" s="5" t="str">
        <f>INDEX(base_fish!E:E,MATCH(use_fish!B60,base_fish!A:A,0))&amp;_xlfn.IFNA("+"&amp;INDEX(activity!F:F,MATCH(use_fish!C60,activity!A:A,0)),"")</f>
        <v>大白鲨+闪电</v>
      </c>
      <c r="H60" s="2">
        <f>LOOKUP(use_fish!B60,base_fish!A:A,base_fish!F:F)+_xlfn.IFNA(INDEX(activity!E:E,MATCH(use_fish!C60,activity!A:A,0)),0)</f>
        <v>120</v>
      </c>
      <c r="I60">
        <v>1</v>
      </c>
    </row>
    <row r="61" spans="1:9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7"/>
        <v>1.4285714285714285E-2</v>
      </c>
      <c r="F61" s="2" t="s">
        <v>28</v>
      </c>
      <c r="G61" s="5" t="str">
        <f>INDEX(base_fish!E:E,MATCH(use_fish!B61,base_fish!A:A,0))&amp;_xlfn.IFNA("+"&amp;INDEX(activity!F:F,MATCH(use_fish!C61,activity!A:A,0)),"")</f>
        <v>大白鲨+锁定卡</v>
      </c>
      <c r="H61" s="2">
        <f>LOOKUP(use_fish!B61,base_fish!A:A,base_fish!F:F)+_xlfn.IFNA(INDEX(activity!E:E,MATCH(use_fish!C61,activity!A:A,0)),0)</f>
        <v>70</v>
      </c>
      <c r="I61">
        <v>1</v>
      </c>
    </row>
    <row r="62" spans="1:9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7"/>
        <v>1.4285714285714285E-2</v>
      </c>
      <c r="F62" s="2" t="s">
        <v>28</v>
      </c>
      <c r="G62" s="5" t="str">
        <f>INDEX(base_fish!E:E,MATCH(use_fish!B62,base_fish!A:A,0))&amp;_xlfn.IFNA("+"&amp;INDEX(activity!F:F,MATCH(use_fish!C62,activity!A:A,0)),"")</f>
        <v>大白鲨+锁定卡</v>
      </c>
      <c r="H62" s="2">
        <f>LOOKUP(use_fish!B62,base_fish!A:A,base_fish!F:F)+_xlfn.IFNA(INDEX(activity!E:E,MATCH(use_fish!C62,activity!A:A,0)),0)</f>
        <v>70</v>
      </c>
      <c r="I62">
        <v>1</v>
      </c>
    </row>
    <row r="63" spans="1:9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si="4"/>
        <v>1.4285714285714285E-2</v>
      </c>
      <c r="F63" s="2" t="s">
        <v>28</v>
      </c>
      <c r="G63" s="5" t="str">
        <f>INDEX(base_fish!E:E,MATCH(use_fish!B63,base_fish!A:A,0))&amp;_xlfn.IFNA("+"&amp;INDEX(activity!F:F,MATCH(use_fish!C63,activity!A:A,0)),"")</f>
        <v>大白鲨+冰冻卡</v>
      </c>
      <c r="H63" s="2">
        <f>LOOKUP(use_fish!B63,base_fish!A:A,base_fish!F:F)+_xlfn.IFNA(INDEX(activity!E:E,MATCH(use_fish!C63,activity!A:A,0)),0)</f>
        <v>70</v>
      </c>
      <c r="I63">
        <v>1</v>
      </c>
    </row>
    <row r="64" spans="1:9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4"/>
        <v>1.4285714285714285E-2</v>
      </c>
      <c r="F64" s="2" t="s">
        <v>28</v>
      </c>
      <c r="G64" s="5" t="str">
        <f>INDEX(base_fish!E:E,MATCH(use_fish!B64,base_fish!A:A,0))&amp;_xlfn.IFNA("+"&amp;INDEX(activity!F:F,MATCH(use_fish!C64,activity!A:A,0)),"")</f>
        <v>大白鲨+冰冻卡</v>
      </c>
      <c r="H64" s="2">
        <f>LOOKUP(use_fish!B64,base_fish!A:A,base_fish!F:F)+_xlfn.IFNA(INDEX(activity!E:E,MATCH(use_fish!C64,activity!A:A,0)),0)</f>
        <v>70</v>
      </c>
      <c r="I64">
        <v>1</v>
      </c>
    </row>
    <row r="65" spans="1:9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ref="E65:E69" si="8">1/D65</f>
        <v>6.1349693251533744E-3</v>
      </c>
      <c r="F65" s="2" t="s">
        <v>28</v>
      </c>
      <c r="G65" s="5" t="str">
        <f>INDEX(base_fish!E:E,MATCH(use_fish!B65,base_fish!A:A,0))&amp;_xlfn.IFNA("+"&amp;INDEX(activity!F:F,MATCH(use_fish!C65,activity!A:A,0)),"")</f>
        <v>锤头鲨+威力提升</v>
      </c>
      <c r="H65" s="2">
        <f>LOOKUP(use_fish!B65,base_fish!A:A,base_fish!F:F)+_xlfn.IFNA(INDEX(activity!E:E,MATCH(use_fish!C65,activity!A:A,0)),0)</f>
        <v>163</v>
      </c>
      <c r="I65">
        <v>1</v>
      </c>
    </row>
    <row r="66" spans="1:9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8"/>
        <v>6.1349693251533744E-3</v>
      </c>
      <c r="F66" s="2" t="s">
        <v>28</v>
      </c>
      <c r="G66" s="5" t="str">
        <f>INDEX(base_fish!E:E,MATCH(use_fish!B66,base_fish!A:A,0))&amp;_xlfn.IFNA("+"&amp;INDEX(activity!F:F,MATCH(use_fish!C66,activity!A:A,0)),"")</f>
        <v>锤头鲨+暴击时刻</v>
      </c>
      <c r="H66" s="2">
        <f>LOOKUP(use_fish!B66,base_fish!A:A,base_fish!F:F)+_xlfn.IFNA(INDEX(activity!E:E,MATCH(use_fish!C66,activity!A:A,0)),0)</f>
        <v>163</v>
      </c>
      <c r="I66">
        <v>1</v>
      </c>
    </row>
    <row r="67" spans="1:9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8"/>
        <v>6.6666666666666671E-3</v>
      </c>
      <c r="F67" s="2" t="s">
        <v>28</v>
      </c>
      <c r="G67" s="5" t="str">
        <f>INDEX(base_fish!E:E,MATCH(use_fish!B67,base_fish!A:A,0))&amp;_xlfn.IFNA("+"&amp;INDEX(activity!F:F,MATCH(use_fish!C67,activity!A:A,0)),"")</f>
        <v>锤头鲨+闪电</v>
      </c>
      <c r="H67" s="2">
        <f>LOOKUP(use_fish!B67,base_fish!A:A,base_fish!F:F)+_xlfn.IFNA(INDEX(activity!E:E,MATCH(use_fish!C67,activity!A:A,0)),0)</f>
        <v>150</v>
      </c>
      <c r="I67">
        <v>1</v>
      </c>
    </row>
    <row r="68" spans="1:9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8"/>
        <v>6.6666666666666671E-3</v>
      </c>
      <c r="F68" s="2" t="s">
        <v>28</v>
      </c>
      <c r="G68" s="5" t="str">
        <f>INDEX(base_fish!E:E,MATCH(use_fish!B68,base_fish!A:A,0))&amp;_xlfn.IFNA("+"&amp;INDEX(activity!F:F,MATCH(use_fish!C68,activity!A:A,0)),"")</f>
        <v>锤头鲨+免费子弹</v>
      </c>
      <c r="H68" s="2">
        <f>LOOKUP(use_fish!B68,base_fish!A:A,base_fish!F:F)+_xlfn.IFNA(INDEX(activity!E:E,MATCH(use_fish!C68,activity!A:A,0)),0)</f>
        <v>150</v>
      </c>
      <c r="I68">
        <v>1</v>
      </c>
    </row>
    <row r="69" spans="1:9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LOOKUP(use_fish!B69,base_fish!A:A,base_fish!C:C)+_xlfn.IFNA(INDEX(activity!E:E,MATCH(use_fish!C69,activity!A:A,0)),0)</f>
        <v>150</v>
      </c>
      <c r="E69" s="2">
        <f t="shared" si="8"/>
        <v>6.6666666666666671E-3</v>
      </c>
      <c r="F69" s="2" t="s">
        <v>28</v>
      </c>
      <c r="G69" s="5" t="str">
        <f>INDEX(base_fish!E:E,MATCH(use_fish!B69,base_fish!A:A,0))&amp;_xlfn.IFNA("+"&amp;INDEX(activity!F:F,MATCH(use_fish!C69,activity!A:A,0)),"")</f>
        <v>锤头鲨+闪电</v>
      </c>
      <c r="H69" s="2">
        <f>LOOKUP(use_fish!B69,base_fish!A:A,base_fish!F:F)+_xlfn.IFNA(INDEX(activity!E:E,MATCH(use_fish!C69,activity!A:A,0)),0)</f>
        <v>150</v>
      </c>
      <c r="I69">
        <v>1</v>
      </c>
    </row>
    <row r="70" spans="1:9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4"/>
        <v>0.01</v>
      </c>
      <c r="F70" s="2" t="s">
        <v>28</v>
      </c>
      <c r="G70" s="5" t="str">
        <f>INDEX(base_fish!E:E,MATCH(use_fish!B70,base_fish!A:A,0))&amp;_xlfn.IFNA("+"&amp;INDEX(activity!F:F,MATCH(use_fish!C70,activity!A:A,0)),"")</f>
        <v>锤头鲨+锁定卡</v>
      </c>
      <c r="H70" s="2">
        <f>LOOKUP(use_fish!B70,base_fish!A:A,base_fish!F:F)+_xlfn.IFNA(INDEX(activity!E:E,MATCH(use_fish!C70,activity!A:A,0)),0)</f>
        <v>100</v>
      </c>
      <c r="I70">
        <v>1</v>
      </c>
    </row>
    <row r="71" spans="1:9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4"/>
        <v>0.01</v>
      </c>
      <c r="F71" s="2" t="s">
        <v>28</v>
      </c>
      <c r="G71" s="5" t="str">
        <f>INDEX(base_fish!E:E,MATCH(use_fish!B71,base_fish!A:A,0))&amp;_xlfn.IFNA("+"&amp;INDEX(activity!F:F,MATCH(use_fish!C71,activity!A:A,0)),"")</f>
        <v>锤头鲨+冰冻卡</v>
      </c>
      <c r="H71" s="2">
        <f>LOOKUP(use_fish!B71,base_fish!A:A,base_fish!F:F)+_xlfn.IFNA(INDEX(activity!E:E,MATCH(use_fish!C71,activity!A:A,0)),0)</f>
        <v>100</v>
      </c>
      <c r="I71">
        <v>1</v>
      </c>
    </row>
    <row r="72" spans="1:9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4"/>
        <v>0.01</v>
      </c>
      <c r="F72" s="2" t="s">
        <v>28</v>
      </c>
      <c r="G72" s="5" t="str">
        <f>INDEX(base_fish!E:E,MATCH(use_fish!B72,base_fish!A:A,0))&amp;_xlfn.IFNA("+"&amp;INDEX(activity!F:F,MATCH(use_fish!C72,activity!A:A,0)),"")</f>
        <v>锤头鲨+冰冻卡</v>
      </c>
      <c r="H72" s="2">
        <f>LOOKUP(use_fish!B72,base_fish!A:A,base_fish!F:F)+_xlfn.IFNA(INDEX(activity!E:E,MATCH(use_fish!C72,activity!A:A,0)),0)</f>
        <v>100</v>
      </c>
      <c r="I72">
        <v>1</v>
      </c>
    </row>
    <row r="73" spans="1:9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ref="E73:E79" si="9">1/D73</f>
        <v>6.993006993006993E-3</v>
      </c>
      <c r="F73" s="2" t="s">
        <v>28</v>
      </c>
      <c r="G73" s="5" t="str">
        <f>INDEX(base_fish!E:E,MATCH(use_fish!B73,base_fish!A:A,0))&amp;_xlfn.IFNA("+"&amp;INDEX(activity!F:F,MATCH(use_fish!C73,activity!A:A,0)),"")</f>
        <v>黄金海龟+威力提升</v>
      </c>
      <c r="H73" s="2">
        <f>LOOKUP(use_fish!B73,base_fish!A:A,base_fish!F:F)+_xlfn.IFNA(INDEX(activity!E:E,MATCH(use_fish!C73,activity!A:A,0)),0)</f>
        <v>143</v>
      </c>
      <c r="I73">
        <v>1</v>
      </c>
    </row>
    <row r="74" spans="1:9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9"/>
        <v>6.993006993006993E-3</v>
      </c>
      <c r="F74" s="2" t="s">
        <v>28</v>
      </c>
      <c r="G74" s="5" t="str">
        <f>INDEX(base_fish!E:E,MATCH(use_fish!B74,base_fish!A:A,0))&amp;_xlfn.IFNA("+"&amp;INDEX(activity!F:F,MATCH(use_fish!C74,activity!A:A,0)),"")</f>
        <v>黄金海龟+暴击时刻</v>
      </c>
      <c r="H74" s="2">
        <f>LOOKUP(use_fish!B74,base_fish!A:A,base_fish!F:F)+_xlfn.IFNA(INDEX(activity!E:E,MATCH(use_fish!C74,activity!A:A,0)),0)</f>
        <v>143</v>
      </c>
      <c r="I74">
        <v>1</v>
      </c>
    </row>
    <row r="75" spans="1:9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9"/>
        <v>7.6923076923076927E-3</v>
      </c>
      <c r="F75" s="2" t="s">
        <v>28</v>
      </c>
      <c r="G75" s="5" t="str">
        <f>INDEX(base_fish!E:E,MATCH(use_fish!B75,base_fish!A:A,0))&amp;_xlfn.IFNA("+"&amp;INDEX(activity!F:F,MATCH(use_fish!C75,activity!A:A,0)),"")</f>
        <v>黄金海龟+闪电</v>
      </c>
      <c r="H75" s="2">
        <f>LOOKUP(use_fish!B75,base_fish!A:A,base_fish!F:F)+_xlfn.IFNA(INDEX(activity!E:E,MATCH(use_fish!C75,activity!A:A,0)),0)</f>
        <v>130</v>
      </c>
      <c r="I75">
        <v>1</v>
      </c>
    </row>
    <row r="76" spans="1:9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9"/>
        <v>7.6923076923076927E-3</v>
      </c>
      <c r="F76" s="2" t="s">
        <v>28</v>
      </c>
      <c r="G76" s="5" t="str">
        <f>INDEX(base_fish!E:E,MATCH(use_fish!B76,base_fish!A:A,0))&amp;_xlfn.IFNA("+"&amp;INDEX(activity!F:F,MATCH(use_fish!C76,activity!A:A,0)),"")</f>
        <v>黄金海龟+免费子弹</v>
      </c>
      <c r="H76" s="2">
        <f>LOOKUP(use_fish!B76,base_fish!A:A,base_fish!F:F)+_xlfn.IFNA(INDEX(activity!E:E,MATCH(use_fish!C76,activity!A:A,0)),0)</f>
        <v>130</v>
      </c>
      <c r="I76">
        <v>1</v>
      </c>
    </row>
    <row r="77" spans="1:9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LOOKUP(use_fish!B77,base_fish!A:A,base_fish!C:C)+_xlfn.IFNA(INDEX(activity!E:E,MATCH(use_fish!C77,activity!A:A,0)),0)</f>
        <v>130</v>
      </c>
      <c r="E77" s="2">
        <f t="shared" si="9"/>
        <v>7.6923076923076927E-3</v>
      </c>
      <c r="F77" s="2" t="s">
        <v>28</v>
      </c>
      <c r="G77" s="5" t="str">
        <f>INDEX(base_fish!E:E,MATCH(use_fish!B77,base_fish!A:A,0))&amp;_xlfn.IFNA("+"&amp;INDEX(activity!F:F,MATCH(use_fish!C77,activity!A:A,0)),"")</f>
        <v>黄金海龟+闪电</v>
      </c>
      <c r="H77" s="2">
        <f>LOOKUP(use_fish!B77,base_fish!A:A,base_fish!F:F)+_xlfn.IFNA(INDEX(activity!E:E,MATCH(use_fish!C77,activity!A:A,0)),0)</f>
        <v>130</v>
      </c>
      <c r="I77">
        <v>1</v>
      </c>
    </row>
    <row r="78" spans="1:9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9"/>
        <v>1.2500000000000001E-2</v>
      </c>
      <c r="F78" s="2" t="s">
        <v>28</v>
      </c>
      <c r="G78" s="5" t="str">
        <f>INDEX(base_fish!E:E,MATCH(use_fish!B78,base_fish!A:A,0))&amp;_xlfn.IFNA("+"&amp;INDEX(activity!F:F,MATCH(use_fish!C78,activity!A:A,0)),"")</f>
        <v>黄金海龟+锁定卡</v>
      </c>
      <c r="H78" s="2">
        <f>LOOKUP(use_fish!B78,base_fish!A:A,base_fish!F:F)+_xlfn.IFNA(INDEX(activity!E:E,MATCH(use_fish!C78,activity!A:A,0)),0)</f>
        <v>80</v>
      </c>
      <c r="I78">
        <v>1</v>
      </c>
    </row>
    <row r="79" spans="1:9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9"/>
        <v>1.2500000000000001E-2</v>
      </c>
      <c r="F79" s="2" t="s">
        <v>28</v>
      </c>
      <c r="G79" s="5" t="str">
        <f>INDEX(base_fish!E:E,MATCH(use_fish!B79,base_fish!A:A,0))&amp;_xlfn.IFNA("+"&amp;INDEX(activity!F:F,MATCH(use_fish!C79,activity!A:A,0)),"")</f>
        <v>黄金海龟+锁定卡</v>
      </c>
      <c r="H79" s="2">
        <f>LOOKUP(use_fish!B79,base_fish!A:A,base_fish!F:F)+_xlfn.IFNA(INDEX(activity!E:E,MATCH(use_fish!C79,activity!A:A,0)),0)</f>
        <v>80</v>
      </c>
      <c r="I79">
        <v>1</v>
      </c>
    </row>
    <row r="80" spans="1:9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 t="shared" si="4"/>
        <v>1.2500000000000001E-2</v>
      </c>
      <c r="F80" s="2" t="s">
        <v>28</v>
      </c>
      <c r="G80" s="5" t="str">
        <f>INDEX(base_fish!E:E,MATCH(use_fish!B80,base_fish!A:A,0))&amp;_xlfn.IFNA("+"&amp;INDEX(activity!F:F,MATCH(use_fish!C80,activity!A:A,0)),"")</f>
        <v>黄金海龟+冰冻卡</v>
      </c>
      <c r="H80" s="2">
        <f>LOOKUP(use_fish!B80,base_fish!A:A,base_fish!F:F)+_xlfn.IFNA(INDEX(activity!E:E,MATCH(use_fish!C80,activity!A:A,0)),0)</f>
        <v>80</v>
      </c>
      <c r="I80">
        <v>1</v>
      </c>
    </row>
    <row r="81" spans="1:9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 t="shared" si="4"/>
        <v>9.0909090909090905E-3</v>
      </c>
      <c r="F81" s="2" t="s">
        <v>28</v>
      </c>
      <c r="G81" s="5" t="str">
        <f>INDEX(base_fish!E:E,MATCH(use_fish!B81,base_fish!A:A,0))&amp;_xlfn.IFNA("+"&amp;INDEX(activity!F:F,MATCH(use_fish!C81,activity!A:A,0)),"")</f>
        <v>黄金海龟+炸弹</v>
      </c>
      <c r="H81" s="2">
        <f>LOOKUP(use_fish!B81,base_fish!A:A,base_fish!F:F)+_xlfn.IFNA(INDEX(activity!E:E,MATCH(use_fish!C81,activity!A:A,0)),0)</f>
        <v>110</v>
      </c>
      <c r="I81">
        <v>1</v>
      </c>
    </row>
    <row r="82" spans="1:9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 t="shared" si="4"/>
        <v>0.01</v>
      </c>
      <c r="F82" s="2" t="s">
        <v>28</v>
      </c>
      <c r="G82" s="5" t="str">
        <f>INDEX(base_fish!E:E,MATCH(use_fish!B82,base_fish!A:A,0))&amp;_xlfn.IFNA("+"&amp;INDEX(activity!F:F,MATCH(use_fish!C82,activity!A:A,0)),"")</f>
        <v>黄金海龟+炸弹</v>
      </c>
      <c r="H82" s="2">
        <f>LOOKUP(use_fish!B82,base_fish!A:A,base_fish!F:F)+_xlfn.IFNA(INDEX(activity!E:E,MATCH(use_fish!C82,activity!A:A,0)),0)</f>
        <v>100</v>
      </c>
      <c r="I82">
        <v>1</v>
      </c>
    </row>
    <row r="83" spans="1:9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10">1/D83</f>
        <v>6.1349693251533744E-3</v>
      </c>
      <c r="F83" s="2" t="s">
        <v>28</v>
      </c>
      <c r="G83" s="5" t="str">
        <f>INDEX(base_fish!E:E,MATCH(use_fish!B83,base_fish!A:A,0))&amp;_xlfn.IFNA("+"&amp;INDEX(activity!F:F,MATCH(use_fish!C83,activity!A:A,0)),"")</f>
        <v>黄金灯笼鱼+威力提升</v>
      </c>
      <c r="H83" s="2">
        <f>LOOKUP(use_fish!B83,base_fish!A:A,base_fish!F:F)+_xlfn.IFNA(INDEX(activity!E:E,MATCH(use_fish!C83,activity!A:A,0)),0)</f>
        <v>163</v>
      </c>
      <c r="I83">
        <v>1</v>
      </c>
    </row>
    <row r="84" spans="1:9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10"/>
        <v>6.1349693251533744E-3</v>
      </c>
      <c r="F84" s="2" t="s">
        <v>28</v>
      </c>
      <c r="G84" s="5" t="str">
        <f>INDEX(base_fish!E:E,MATCH(use_fish!B84,base_fish!A:A,0))&amp;_xlfn.IFNA("+"&amp;INDEX(activity!F:F,MATCH(use_fish!C84,activity!A:A,0)),"")</f>
        <v>黄金灯笼鱼+暴击时刻</v>
      </c>
      <c r="H84" s="2">
        <f>LOOKUP(use_fish!B84,base_fish!A:A,base_fish!F:F)+_xlfn.IFNA(INDEX(activity!E:E,MATCH(use_fish!C84,activity!A:A,0)),0)</f>
        <v>163</v>
      </c>
      <c r="I84">
        <v>1</v>
      </c>
    </row>
    <row r="85" spans="1:9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10"/>
        <v>6.6666666666666671E-3</v>
      </c>
      <c r="F85" s="2" t="s">
        <v>28</v>
      </c>
      <c r="G85" s="5" t="str">
        <f>INDEX(base_fish!E:E,MATCH(use_fish!B85,base_fish!A:A,0))&amp;_xlfn.IFNA("+"&amp;INDEX(activity!F:F,MATCH(use_fish!C85,activity!A:A,0)),"")</f>
        <v>黄金灯笼鱼+闪电</v>
      </c>
      <c r="H85" s="2">
        <f>LOOKUP(use_fish!B85,base_fish!A:A,base_fish!F:F)+_xlfn.IFNA(INDEX(activity!E:E,MATCH(use_fish!C85,activity!A:A,0)),0)</f>
        <v>150</v>
      </c>
      <c r="I85">
        <v>1</v>
      </c>
    </row>
    <row r="86" spans="1:9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10"/>
        <v>6.6666666666666671E-3</v>
      </c>
      <c r="F86" s="2" t="s">
        <v>28</v>
      </c>
      <c r="G86" s="5" t="str">
        <f>INDEX(base_fish!E:E,MATCH(use_fish!B86,base_fish!A:A,0))&amp;_xlfn.IFNA("+"&amp;INDEX(activity!F:F,MATCH(use_fish!C86,activity!A:A,0)),"")</f>
        <v>黄金灯笼鱼+免费子弹</v>
      </c>
      <c r="H86" s="2">
        <f>LOOKUP(use_fish!B86,base_fish!A:A,base_fish!F:F)+_xlfn.IFNA(INDEX(activity!E:E,MATCH(use_fish!C86,activity!A:A,0)),0)</f>
        <v>150</v>
      </c>
      <c r="I86">
        <v>1</v>
      </c>
    </row>
    <row r="87" spans="1:9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LOOKUP(use_fish!B87,base_fish!A:A,base_fish!C:C)+_xlfn.IFNA(INDEX(activity!E:E,MATCH(use_fish!C87,activity!A:A,0)),0)</f>
        <v>150</v>
      </c>
      <c r="E87" s="2">
        <f t="shared" si="10"/>
        <v>6.6666666666666671E-3</v>
      </c>
      <c r="F87" s="2" t="s">
        <v>28</v>
      </c>
      <c r="G87" s="5" t="str">
        <f>INDEX(base_fish!E:E,MATCH(use_fish!B87,base_fish!A:A,0))&amp;_xlfn.IFNA("+"&amp;INDEX(activity!F:F,MATCH(use_fish!C87,activity!A:A,0)),"")</f>
        <v>黄金灯笼鱼+闪电</v>
      </c>
      <c r="H87" s="2">
        <f>LOOKUP(use_fish!B87,base_fish!A:A,base_fish!F:F)+_xlfn.IFNA(INDEX(activity!E:E,MATCH(use_fish!C87,activity!A:A,0)),0)</f>
        <v>150</v>
      </c>
      <c r="I87">
        <v>1</v>
      </c>
    </row>
    <row r="88" spans="1:9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10"/>
        <v>0.01</v>
      </c>
      <c r="F88" s="2" t="s">
        <v>28</v>
      </c>
      <c r="G88" s="5" t="str">
        <f>INDEX(base_fish!E:E,MATCH(use_fish!B88,base_fish!A:A,0))&amp;_xlfn.IFNA("+"&amp;INDEX(activity!F:F,MATCH(use_fish!C88,activity!A:A,0)),"")</f>
        <v>黄金灯笼鱼+锁定卡</v>
      </c>
      <c r="H88" s="2">
        <f>LOOKUP(use_fish!B88,base_fish!A:A,base_fish!F:F)+_xlfn.IFNA(INDEX(activity!E:E,MATCH(use_fish!C88,activity!A:A,0)),0)</f>
        <v>100</v>
      </c>
      <c r="I88">
        <v>1</v>
      </c>
    </row>
    <row r="89" spans="1:9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 t="shared" si="4"/>
        <v>0.01</v>
      </c>
      <c r="F89" s="2" t="s">
        <v>28</v>
      </c>
      <c r="G89" s="5" t="str">
        <f>INDEX(base_fish!E:E,MATCH(use_fish!B89,base_fish!A:A,0))&amp;_xlfn.IFNA("+"&amp;INDEX(activity!F:F,MATCH(use_fish!C89,activity!A:A,0)),"")</f>
        <v>黄金灯笼鱼+冰冻卡</v>
      </c>
      <c r="H89" s="2">
        <f>LOOKUP(use_fish!B89,base_fish!A:A,base_fish!F:F)+_xlfn.IFNA(INDEX(activity!E:E,MATCH(use_fish!C89,activity!A:A,0)),0)</f>
        <v>100</v>
      </c>
      <c r="I89">
        <v>1</v>
      </c>
    </row>
    <row r="90" spans="1:9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 t="shared" si="4"/>
        <v>0.01</v>
      </c>
      <c r="F90" s="2" t="s">
        <v>28</v>
      </c>
      <c r="G90" s="5" t="str">
        <f>INDEX(base_fish!E:E,MATCH(use_fish!B90,base_fish!A:A,0))&amp;_xlfn.IFNA("+"&amp;INDEX(activity!F:F,MATCH(use_fish!C90,activity!A:A,0)),"")</f>
        <v>黄金灯笼鱼+冰冻卡</v>
      </c>
      <c r="H90" s="2">
        <f>LOOKUP(use_fish!B90,base_fish!A:A,base_fish!F:F)+_xlfn.IFNA(INDEX(activity!E:E,MATCH(use_fish!C90,activity!A:A,0)),0)</f>
        <v>100</v>
      </c>
      <c r="I90">
        <v>1</v>
      </c>
    </row>
    <row r="91" spans="1:9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 t="shared" si="4"/>
        <v>7.6923076923076927E-3</v>
      </c>
      <c r="F91" s="2" t="s">
        <v>28</v>
      </c>
      <c r="G91" s="5" t="str">
        <f>INDEX(base_fish!E:E,MATCH(use_fish!B91,base_fish!A:A,0))&amp;_xlfn.IFNA("+"&amp;INDEX(activity!F:F,MATCH(use_fish!C91,activity!A:A,0)),"")</f>
        <v>黄金灯笼鱼+炸弹</v>
      </c>
      <c r="H91" s="2">
        <f>LOOKUP(use_fish!B91,base_fish!A:A,base_fish!F:F)+_xlfn.IFNA(INDEX(activity!E:E,MATCH(use_fish!C91,activity!A:A,0)),0)</f>
        <v>130</v>
      </c>
      <c r="I91">
        <v>1</v>
      </c>
    </row>
    <row r="92" spans="1:9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 t="shared" si="4"/>
        <v>8.3333333333333332E-3</v>
      </c>
      <c r="F92" s="2" t="s">
        <v>28</v>
      </c>
      <c r="G92" s="5" t="str">
        <f>INDEX(base_fish!E:E,MATCH(use_fish!B92,base_fish!A:A,0))&amp;_xlfn.IFNA("+"&amp;INDEX(activity!F:F,MATCH(use_fish!C92,activity!A:A,0)),"")</f>
        <v>黄金灯笼鱼+炸弹</v>
      </c>
      <c r="H92" s="2">
        <f>LOOKUP(use_fish!B92,base_fish!A:A,base_fish!F:F)+_xlfn.IFNA(INDEX(activity!E:E,MATCH(use_fish!C92,activity!A:A,0)),0)</f>
        <v>120</v>
      </c>
      <c r="I92">
        <v>1</v>
      </c>
    </row>
    <row r="93" spans="1:9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11">1/D93</f>
        <v>5.4644808743169399E-3</v>
      </c>
      <c r="F93" s="2" t="s">
        <v>28</v>
      </c>
      <c r="G93" s="5" t="str">
        <f>INDEX(base_fish!E:E,MATCH(use_fish!B93,base_fish!A:A,0))&amp;_xlfn.IFNA("+"&amp;INDEX(activity!F:F,MATCH(use_fish!C93,activity!A:A,0)),"")</f>
        <v>黄金魔鬼鱼+威力提升</v>
      </c>
      <c r="H93" s="2">
        <f>LOOKUP(use_fish!B93,base_fish!A:A,base_fish!F:F)+_xlfn.IFNA(INDEX(activity!E:E,MATCH(use_fish!C93,activity!A:A,0)),0)</f>
        <v>183</v>
      </c>
      <c r="I93">
        <v>1</v>
      </c>
    </row>
    <row r="94" spans="1:9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11"/>
        <v>5.4644808743169399E-3</v>
      </c>
      <c r="F94" s="2" t="s">
        <v>28</v>
      </c>
      <c r="G94" s="5" t="str">
        <f>INDEX(base_fish!E:E,MATCH(use_fish!B94,base_fish!A:A,0))&amp;_xlfn.IFNA("+"&amp;INDEX(activity!F:F,MATCH(use_fish!C94,activity!A:A,0)),"")</f>
        <v>黄金魔鬼鱼+暴击时刻</v>
      </c>
      <c r="H94" s="2">
        <f>LOOKUP(use_fish!B94,base_fish!A:A,base_fish!F:F)+_xlfn.IFNA(INDEX(activity!E:E,MATCH(use_fish!C94,activity!A:A,0)),0)</f>
        <v>183</v>
      </c>
      <c r="I94">
        <v>1</v>
      </c>
    </row>
    <row r="95" spans="1:9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11"/>
        <v>5.8823529411764705E-3</v>
      </c>
      <c r="F95" s="2" t="s">
        <v>28</v>
      </c>
      <c r="G95" s="5" t="str">
        <f>INDEX(base_fish!E:E,MATCH(use_fish!B95,base_fish!A:A,0))&amp;_xlfn.IFNA("+"&amp;INDEX(activity!F:F,MATCH(use_fish!C95,activity!A:A,0)),"")</f>
        <v>黄金魔鬼鱼+闪电</v>
      </c>
      <c r="H95" s="2">
        <f>LOOKUP(use_fish!B95,base_fish!A:A,base_fish!F:F)+_xlfn.IFNA(INDEX(activity!E:E,MATCH(use_fish!C95,activity!A:A,0)),0)</f>
        <v>170</v>
      </c>
      <c r="I95">
        <v>1</v>
      </c>
    </row>
    <row r="96" spans="1:9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11"/>
        <v>5.8823529411764705E-3</v>
      </c>
      <c r="F96" s="2" t="s">
        <v>28</v>
      </c>
      <c r="G96" s="5" t="str">
        <f>INDEX(base_fish!E:E,MATCH(use_fish!B96,base_fish!A:A,0))&amp;_xlfn.IFNA("+"&amp;INDEX(activity!F:F,MATCH(use_fish!C96,activity!A:A,0)),"")</f>
        <v>黄金魔鬼鱼+免费子弹</v>
      </c>
      <c r="H96" s="2">
        <f>LOOKUP(use_fish!B96,base_fish!A:A,base_fish!F:F)+_xlfn.IFNA(INDEX(activity!E:E,MATCH(use_fish!C96,activity!A:A,0)),0)</f>
        <v>170</v>
      </c>
      <c r="I96">
        <v>1</v>
      </c>
    </row>
    <row r="97" spans="1:9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11"/>
        <v>5.8823529411764705E-3</v>
      </c>
      <c r="F97" s="2" t="s">
        <v>28</v>
      </c>
      <c r="G97" s="5" t="str">
        <f>INDEX(base_fish!E:E,MATCH(use_fish!B97,base_fish!A:A,0))&amp;_xlfn.IFNA("+"&amp;INDEX(activity!F:F,MATCH(use_fish!C97,activity!A:A,0)),"")</f>
        <v>黄金魔鬼鱼+闪电</v>
      </c>
      <c r="H97" s="2">
        <f>LOOKUP(use_fish!B97,base_fish!A:A,base_fish!F:F)+_xlfn.IFNA(INDEX(activity!E:E,MATCH(use_fish!C97,activity!A:A,0)),0)</f>
        <v>170</v>
      </c>
      <c r="I97">
        <v>1</v>
      </c>
    </row>
    <row r="98" spans="1:9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11"/>
        <v>8.3333333333333332E-3</v>
      </c>
      <c r="F98" s="2" t="s">
        <v>28</v>
      </c>
      <c r="G98" s="5" t="str">
        <f>INDEX(base_fish!E:E,MATCH(use_fish!B98,base_fish!A:A,0))&amp;_xlfn.IFNA("+"&amp;INDEX(activity!F:F,MATCH(use_fish!C98,activity!A:A,0)),"")</f>
        <v>黄金魔鬼鱼+锁定卡</v>
      </c>
      <c r="H98" s="2">
        <f>LOOKUP(use_fish!B98,base_fish!A:A,base_fish!F:F)+_xlfn.IFNA(INDEX(activity!E:E,MATCH(use_fish!C98,activity!A:A,0)),0)</f>
        <v>120</v>
      </c>
      <c r="I98">
        <v>1</v>
      </c>
    </row>
    <row r="99" spans="1:9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11"/>
        <v>8.3333333333333332E-3</v>
      </c>
      <c r="F99" s="2" t="s">
        <v>28</v>
      </c>
      <c r="G99" s="5" t="str">
        <f>INDEX(base_fish!E:E,MATCH(use_fish!B99,base_fish!A:A,0))&amp;_xlfn.IFNA("+"&amp;INDEX(activity!F:F,MATCH(use_fish!C99,activity!A:A,0)),"")</f>
        <v>黄金魔鬼鱼+锁定卡</v>
      </c>
      <c r="H99" s="2">
        <f>LOOKUP(use_fish!B99,base_fish!A:A,base_fish!F:F)+_xlfn.IFNA(INDEX(activity!E:E,MATCH(use_fish!C99,activity!A:A,0)),0)</f>
        <v>120</v>
      </c>
      <c r="I99">
        <v>1</v>
      </c>
    </row>
    <row r="100" spans="1:9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 t="shared" si="4"/>
        <v>8.3333333333333332E-3</v>
      </c>
      <c r="F100" s="2" t="s">
        <v>28</v>
      </c>
      <c r="G100" s="5" t="str">
        <f>INDEX(base_fish!E:E,MATCH(use_fish!B100,base_fish!A:A,0))&amp;_xlfn.IFNA("+"&amp;INDEX(activity!F:F,MATCH(use_fish!C100,activity!A:A,0)),"")</f>
        <v>黄金魔鬼鱼+冰冻卡</v>
      </c>
      <c r="H100" s="2">
        <f>LOOKUP(use_fish!B100,base_fish!A:A,base_fish!F:F)+_xlfn.IFNA(INDEX(activity!E:E,MATCH(use_fish!C100,activity!A:A,0)),0)</f>
        <v>120</v>
      </c>
      <c r="I100">
        <v>1</v>
      </c>
    </row>
    <row r="101" spans="1:9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 t="shared" si="4"/>
        <v>6.6666666666666671E-3</v>
      </c>
      <c r="F101" s="2" t="s">
        <v>28</v>
      </c>
      <c r="G101" s="5" t="str">
        <f>INDEX(base_fish!E:E,MATCH(use_fish!B101,base_fish!A:A,0))&amp;_xlfn.IFNA("+"&amp;INDEX(activity!F:F,MATCH(use_fish!C101,activity!A:A,0)),"")</f>
        <v>黄金魔鬼鱼+炸弹</v>
      </c>
      <c r="H101" s="2">
        <f>LOOKUP(use_fish!B101,base_fish!A:A,base_fish!F:F)+_xlfn.IFNA(INDEX(activity!E:E,MATCH(use_fish!C101,activity!A:A,0)),0)</f>
        <v>150</v>
      </c>
      <c r="I101">
        <v>1</v>
      </c>
    </row>
    <row r="102" spans="1:9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 t="shared" si="4"/>
        <v>7.1428571428571426E-3</v>
      </c>
      <c r="F102" s="2" t="s">
        <v>28</v>
      </c>
      <c r="G102" s="5" t="str">
        <f>INDEX(base_fish!E:E,MATCH(use_fish!B102,base_fish!A:A,0))&amp;_xlfn.IFNA("+"&amp;INDEX(activity!F:F,MATCH(use_fish!C102,activity!A:A,0)),"")</f>
        <v>黄金魔鬼鱼+炸弹</v>
      </c>
      <c r="H102" s="2">
        <f>LOOKUP(use_fish!B102,base_fish!A:A,base_fish!F:F)+_xlfn.IFNA(INDEX(activity!E:E,MATCH(use_fish!C102,activity!A:A,0)),0)</f>
        <v>140</v>
      </c>
      <c r="I102">
        <v>1</v>
      </c>
    </row>
    <row r="103" spans="1:9" x14ac:dyDescent="0.2">
      <c r="E103" s="2"/>
      <c r="H103" s="2"/>
    </row>
    <row r="104" spans="1:9" x14ac:dyDescent="0.2">
      <c r="H104" s="2"/>
    </row>
    <row r="105" spans="1:9" x14ac:dyDescent="0.2">
      <c r="H105" s="2"/>
    </row>
    <row r="106" spans="1:9" x14ac:dyDescent="0.2">
      <c r="H106" s="2"/>
    </row>
    <row r="107" spans="1:9" x14ac:dyDescent="0.2">
      <c r="H107" s="2"/>
    </row>
    <row r="108" spans="1:9" x14ac:dyDescent="0.2">
      <c r="H108" s="2"/>
    </row>
    <row r="109" spans="1:9" x14ac:dyDescent="0.2">
      <c r="H109" s="2"/>
    </row>
    <row r="110" spans="1:9" x14ac:dyDescent="0.2">
      <c r="H110" s="2"/>
    </row>
    <row r="111" spans="1:9" x14ac:dyDescent="0.2">
      <c r="H111" s="2"/>
    </row>
    <row r="112" spans="1:9" x14ac:dyDescent="0.2">
      <c r="H112" s="2"/>
    </row>
    <row r="113" spans="8:8" x14ac:dyDescent="0.2">
      <c r="H113" s="2"/>
    </row>
    <row r="114" spans="8:8" x14ac:dyDescent="0.2">
      <c r="H114" s="2"/>
    </row>
    <row r="115" spans="8:8" x14ac:dyDescent="0.2">
      <c r="H115" s="2"/>
    </row>
    <row r="116" spans="8:8" x14ac:dyDescent="0.2">
      <c r="H116" s="2"/>
    </row>
    <row r="117" spans="8:8" x14ac:dyDescent="0.2">
      <c r="H117" s="2"/>
    </row>
    <row r="118" spans="8:8" x14ac:dyDescent="0.2">
      <c r="H118" s="2"/>
    </row>
    <row r="119" spans="8:8" x14ac:dyDescent="0.2">
      <c r="H119" s="2"/>
    </row>
    <row r="120" spans="8:8" x14ac:dyDescent="0.2">
      <c r="H120" s="2"/>
    </row>
    <row r="121" spans="8:8" x14ac:dyDescent="0.2">
      <c r="H121" s="2"/>
    </row>
    <row r="122" spans="8:8" x14ac:dyDescent="0.2">
      <c r="H122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8"/>
  <sheetViews>
    <sheetView topLeftCell="A13" workbookViewId="0">
      <selection activeCell="E21" sqref="A21:E22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39</v>
      </c>
      <c r="F1" s="1" t="s">
        <v>55</v>
      </c>
      <c r="G1" s="1" t="s">
        <v>2</v>
      </c>
      <c r="H1" s="1" t="s">
        <v>2</v>
      </c>
      <c r="J1" s="1" t="s">
        <v>184</v>
      </c>
    </row>
    <row r="2" spans="1:10" x14ac:dyDescent="0.2">
      <c r="A2">
        <v>1</v>
      </c>
      <c r="B2">
        <v>1</v>
      </c>
      <c r="C2" t="s">
        <v>213</v>
      </c>
      <c r="D2" s="2">
        <v>0</v>
      </c>
      <c r="E2">
        <v>63</v>
      </c>
      <c r="F2" t="str">
        <f>LOOKUP(B2,G:G,H:H)</f>
        <v>免费子弹</v>
      </c>
      <c r="G2">
        <v>1</v>
      </c>
      <c r="H2" t="s">
        <v>56</v>
      </c>
      <c r="J2" t="s">
        <v>185</v>
      </c>
    </row>
    <row r="3" spans="1:10" x14ac:dyDescent="0.2">
      <c r="A3">
        <v>2</v>
      </c>
      <c r="B3">
        <v>2</v>
      </c>
      <c r="C3" t="s">
        <v>224</v>
      </c>
      <c r="D3" s="2">
        <v>0</v>
      </c>
      <c r="E3">
        <v>63</v>
      </c>
      <c r="F3" t="str">
        <f t="shared" ref="F3:F18" si="0">LOOKUP(B3,G:G,H:H)</f>
        <v>威力提升</v>
      </c>
      <c r="G3">
        <v>2</v>
      </c>
      <c r="H3" t="s">
        <v>57</v>
      </c>
    </row>
    <row r="4" spans="1:10" x14ac:dyDescent="0.2">
      <c r="A4">
        <v>3</v>
      </c>
      <c r="B4">
        <v>3</v>
      </c>
      <c r="C4" t="s">
        <v>223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58</v>
      </c>
    </row>
    <row r="5" spans="1:10" x14ac:dyDescent="0.2">
      <c r="A5">
        <v>4</v>
      </c>
      <c r="B5">
        <v>4</v>
      </c>
      <c r="C5" t="s">
        <v>172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59</v>
      </c>
    </row>
    <row r="6" spans="1:10" x14ac:dyDescent="0.2">
      <c r="A6">
        <v>5</v>
      </c>
      <c r="B6">
        <v>5</v>
      </c>
      <c r="C6" t="s">
        <v>173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60</v>
      </c>
    </row>
    <row r="7" spans="1:10" x14ac:dyDescent="0.2">
      <c r="A7">
        <v>6</v>
      </c>
      <c r="B7">
        <v>4</v>
      </c>
      <c r="C7" t="s">
        <v>174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61</v>
      </c>
    </row>
    <row r="8" spans="1:10" x14ac:dyDescent="0.2">
      <c r="A8">
        <v>7</v>
      </c>
      <c r="B8">
        <v>1</v>
      </c>
      <c r="C8" t="s">
        <v>171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62</v>
      </c>
    </row>
    <row r="9" spans="1:10" x14ac:dyDescent="0.2">
      <c r="A9">
        <v>8</v>
      </c>
      <c r="B9">
        <v>4</v>
      </c>
      <c r="C9" t="s">
        <v>214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63</v>
      </c>
    </row>
    <row r="10" spans="1:10" x14ac:dyDescent="0.2">
      <c r="A10">
        <v>9</v>
      </c>
      <c r="B10">
        <v>5</v>
      </c>
      <c r="C10" t="s">
        <v>215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271</v>
      </c>
    </row>
    <row r="11" spans="1:10" x14ac:dyDescent="0.2">
      <c r="A11">
        <v>10</v>
      </c>
      <c r="B11">
        <v>5</v>
      </c>
      <c r="C11" t="s">
        <v>175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272</v>
      </c>
    </row>
    <row r="12" spans="1:10" x14ac:dyDescent="0.2">
      <c r="A12">
        <v>11</v>
      </c>
      <c r="B12">
        <v>7</v>
      </c>
      <c r="C12" t="s">
        <v>53</v>
      </c>
      <c r="D12" s="4">
        <v>1</v>
      </c>
      <c r="E12">
        <v>0</v>
      </c>
      <c r="F12" t="str">
        <f t="shared" si="0"/>
        <v>锁定卡</v>
      </c>
      <c r="G12">
        <v>11</v>
      </c>
      <c r="H12" t="s">
        <v>273</v>
      </c>
    </row>
    <row r="13" spans="1:10" x14ac:dyDescent="0.2">
      <c r="A13">
        <v>12</v>
      </c>
      <c r="B13">
        <v>7</v>
      </c>
      <c r="C13" t="s">
        <v>64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49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64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255</v>
      </c>
      <c r="D16" s="4">
        <v>1</v>
      </c>
      <c r="E16">
        <v>10</v>
      </c>
      <c r="F16" t="str">
        <f t="shared" si="0"/>
        <v>临时活动</v>
      </c>
    </row>
    <row r="17" spans="1:6" x14ac:dyDescent="0.2">
      <c r="A17">
        <v>16</v>
      </c>
      <c r="B17">
        <v>9</v>
      </c>
      <c r="C17" t="s">
        <v>255</v>
      </c>
      <c r="D17" s="4">
        <v>0</v>
      </c>
      <c r="E17">
        <v>10</v>
      </c>
      <c r="F17" t="str">
        <f t="shared" si="0"/>
        <v>临时活动</v>
      </c>
    </row>
    <row r="18" spans="1:6" x14ac:dyDescent="0.2">
      <c r="A18">
        <v>17</v>
      </c>
      <c r="B18">
        <v>10</v>
      </c>
      <c r="C18" s="8" t="s">
        <v>256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1"/>
  <sheetViews>
    <sheetView workbookViewId="0">
      <selection activeCell="C4" sqref="C4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</cols>
  <sheetData>
    <row r="1" spans="1:6" s="1" customFormat="1" ht="48.75" customHeight="1" x14ac:dyDescent="0.2">
      <c r="A1" s="1" t="s">
        <v>22</v>
      </c>
      <c r="B1" s="1" t="s">
        <v>20</v>
      </c>
      <c r="C1" s="1" t="s">
        <v>270</v>
      </c>
      <c r="D1" s="1" t="s">
        <v>0</v>
      </c>
      <c r="E1" s="1" t="s">
        <v>7</v>
      </c>
      <c r="F1" s="1" t="s">
        <v>269</v>
      </c>
    </row>
    <row r="2" spans="1:6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</row>
    <row r="3" spans="1:6" x14ac:dyDescent="0.2">
      <c r="A3" s="3">
        <v>2</v>
      </c>
      <c r="B3" s="3">
        <v>1</v>
      </c>
      <c r="C3" s="2">
        <v>2</v>
      </c>
      <c r="D3" s="2">
        <f t="shared" ref="D3:D21" si="0">IF(C3,1/C3,0)</f>
        <v>0.5</v>
      </c>
      <c r="E3" s="5" t="s">
        <v>193</v>
      </c>
      <c r="F3" s="2">
        <f t="shared" ref="F3:F21" si="1">C3</f>
        <v>2</v>
      </c>
    </row>
    <row r="4" spans="1:6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194</v>
      </c>
      <c r="F4" s="2">
        <f t="shared" si="1"/>
        <v>5</v>
      </c>
    </row>
    <row r="5" spans="1:6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195</v>
      </c>
      <c r="F5" s="2">
        <f t="shared" si="1"/>
        <v>8</v>
      </c>
    </row>
    <row r="6" spans="1:6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</row>
    <row r="7" spans="1:6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196</v>
      </c>
      <c r="F7" s="2">
        <f t="shared" si="1"/>
        <v>20</v>
      </c>
    </row>
    <row r="8" spans="1:6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</row>
    <row r="9" spans="1:6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197</v>
      </c>
      <c r="F9" s="2">
        <f t="shared" si="1"/>
        <v>40</v>
      </c>
    </row>
    <row r="10" spans="1:6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</row>
    <row r="11" spans="1:6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</row>
    <row r="12" spans="1:6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198</v>
      </c>
      <c r="F12" s="2">
        <f t="shared" si="1"/>
        <v>70</v>
      </c>
    </row>
    <row r="13" spans="1:6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</row>
    <row r="14" spans="1:6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199</v>
      </c>
      <c r="F14" s="2">
        <f t="shared" si="1"/>
        <v>150</v>
      </c>
    </row>
    <row r="15" spans="1:6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200</v>
      </c>
      <c r="F15" s="2">
        <f t="shared" si="1"/>
        <v>80</v>
      </c>
    </row>
    <row r="16" spans="1:6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201</v>
      </c>
      <c r="F16" s="2">
        <f t="shared" si="1"/>
        <v>100</v>
      </c>
    </row>
    <row r="17" spans="1:6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202</v>
      </c>
      <c r="F17" s="2">
        <f t="shared" si="1"/>
        <v>120</v>
      </c>
    </row>
    <row r="18" spans="1:6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203</v>
      </c>
      <c r="F18" s="2">
        <f t="shared" si="1"/>
        <v>140</v>
      </c>
    </row>
    <row r="19" spans="1:6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204</v>
      </c>
      <c r="F19" s="2">
        <f t="shared" si="1"/>
        <v>200</v>
      </c>
    </row>
    <row r="20" spans="1:6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240</v>
      </c>
      <c r="F20" s="2">
        <f t="shared" si="1"/>
        <v>0</v>
      </c>
    </row>
    <row r="21" spans="1:6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257</v>
      </c>
      <c r="F21" s="2">
        <f t="shared" si="1"/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22" workbookViewId="0">
      <selection activeCell="E51" sqref="E51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183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216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24</v>
      </c>
      <c r="B1" s="1" t="s">
        <v>186</v>
      </c>
      <c r="C1" s="1" t="s">
        <v>187</v>
      </c>
      <c r="D1" s="1" t="s">
        <v>188</v>
      </c>
      <c r="XFD1" s="1"/>
    </row>
    <row r="2" spans="1:4 16384:16384" x14ac:dyDescent="0.2">
      <c r="A2">
        <v>1</v>
      </c>
      <c r="B2" t="s">
        <v>189</v>
      </c>
      <c r="C2">
        <v>10</v>
      </c>
      <c r="D2">
        <v>0</v>
      </c>
    </row>
    <row r="3" spans="1:4 16384:16384" x14ac:dyDescent="0.2">
      <c r="A3">
        <v>2</v>
      </c>
      <c r="B3" t="s">
        <v>190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G11" sqref="G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258</v>
      </c>
      <c r="B1" s="1" t="s">
        <v>259</v>
      </c>
      <c r="C1" s="1" t="s">
        <v>260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261</v>
      </c>
      <c r="C2" s="2"/>
    </row>
    <row r="3" spans="1:7 16381:16381" x14ac:dyDescent="0.2">
      <c r="A3" s="2">
        <v>2</v>
      </c>
      <c r="B3" s="2" t="s">
        <v>262</v>
      </c>
      <c r="C3" s="2" t="s">
        <v>263</v>
      </c>
    </row>
    <row r="4" spans="1:7 16381:16381" x14ac:dyDescent="0.2">
      <c r="A4" s="2">
        <v>3</v>
      </c>
      <c r="B4" s="2" t="s">
        <v>264</v>
      </c>
      <c r="C4" s="2" t="s">
        <v>265</v>
      </c>
    </row>
    <row r="5" spans="1:7 16381:16381" x14ac:dyDescent="0.2">
      <c r="A5" s="2">
        <v>4</v>
      </c>
      <c r="B5" s="2" t="s">
        <v>266</v>
      </c>
      <c r="C5" s="2" t="s">
        <v>267</v>
      </c>
    </row>
    <row r="6" spans="1:7 16381:16381" x14ac:dyDescent="0.2">
      <c r="A6" s="2">
        <v>5</v>
      </c>
      <c r="B6" s="2" t="s">
        <v>268</v>
      </c>
      <c r="C6" s="2" t="s">
        <v>267</v>
      </c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241</v>
      </c>
      <c r="B1" s="1" t="s">
        <v>242</v>
      </c>
      <c r="C1" s="1" t="s">
        <v>243</v>
      </c>
      <c r="D1" s="1" t="s">
        <v>244</v>
      </c>
      <c r="E1" s="1" t="s">
        <v>245</v>
      </c>
      <c r="F1" s="1" t="s">
        <v>246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247</v>
      </c>
      <c r="D2" s="2">
        <v>0</v>
      </c>
      <c r="E2" s="2"/>
      <c r="F2" t="s">
        <v>248</v>
      </c>
    </row>
    <row r="3" spans="1:10 16384:16384" ht="39" customHeight="1" x14ac:dyDescent="0.2">
      <c r="A3" s="2">
        <v>2</v>
      </c>
      <c r="B3" s="2">
        <v>1</v>
      </c>
      <c r="C3" s="2" t="s">
        <v>249</v>
      </c>
      <c r="D3" s="2">
        <v>1</v>
      </c>
      <c r="E3" s="2" t="s">
        <v>250</v>
      </c>
      <c r="F3" t="s">
        <v>251</v>
      </c>
    </row>
    <row r="4" spans="1:10 16384:16384" ht="63.75" customHeight="1" x14ac:dyDescent="0.2">
      <c r="A4" s="2">
        <v>3</v>
      </c>
      <c r="B4" s="2">
        <v>1</v>
      </c>
      <c r="C4" s="2" t="s">
        <v>252</v>
      </c>
      <c r="D4" s="2">
        <v>0</v>
      </c>
      <c r="E4" s="4" t="s">
        <v>253</v>
      </c>
      <c r="F4" t="s">
        <v>254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wave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2019-07-15T08:05:46Z</dcterms:modified>
</cp:coreProperties>
</file>