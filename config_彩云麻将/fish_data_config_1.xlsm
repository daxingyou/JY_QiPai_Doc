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</sheet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8" i="1" l="1"/>
  <c r="F28" i="1"/>
  <c r="D27" i="1"/>
  <c r="F27" i="1"/>
  <c r="D26" i="1"/>
  <c r="F26" i="1"/>
  <c r="D25" i="1"/>
  <c r="F25" i="1"/>
  <c r="D24" i="1"/>
  <c r="F24" i="1"/>
  <c r="D23" i="1"/>
  <c r="F23" i="1"/>
  <c r="H9" i="14" l="1"/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 l="1"/>
  <c r="F22" i="1"/>
  <c r="K119" i="14" l="1"/>
  <c r="K120" i="14"/>
  <c r="K121" i="14"/>
  <c r="D122" i="14" l="1"/>
  <c r="J3" i="14" l="1"/>
  <c r="J5" i="7" s="1"/>
  <c r="J4" i="14"/>
  <c r="J12" i="7" s="1"/>
  <c r="J5" i="14"/>
  <c r="J6" i="14"/>
  <c r="J20" i="7" s="1"/>
  <c r="J7" i="14"/>
  <c r="J21" i="7" s="1"/>
  <c r="J8" i="14"/>
  <c r="J9" i="14"/>
  <c r="J10" i="14"/>
  <c r="J24" i="7" s="1"/>
  <c r="J11" i="14"/>
  <c r="J25" i="7" s="1"/>
  <c r="J12" i="14"/>
  <c r="J26" i="7" s="1"/>
  <c r="J13" i="14"/>
  <c r="J27" i="7" s="1"/>
  <c r="J14" i="14"/>
  <c r="J15" i="14"/>
  <c r="J29" i="7" s="1"/>
  <c r="J16" i="14"/>
  <c r="J30" i="7" s="1"/>
  <c r="J17" i="14"/>
  <c r="J31" i="7" s="1"/>
  <c r="J18" i="14"/>
  <c r="J32" i="7" s="1"/>
  <c r="J19" i="14"/>
  <c r="J33" i="7" s="1"/>
  <c r="J20" i="14"/>
  <c r="J34" i="7" s="1"/>
  <c r="J21" i="14"/>
  <c r="J35" i="7" s="1"/>
  <c r="J22" i="14"/>
  <c r="J36" i="7" s="1"/>
  <c r="J23" i="14"/>
  <c r="J37" i="7" s="1"/>
  <c r="J24" i="14"/>
  <c r="J38" i="7" s="1"/>
  <c r="J25" i="14"/>
  <c r="J39" i="7" s="1"/>
  <c r="J26" i="14"/>
  <c r="J40" i="7" s="1"/>
  <c r="J27" i="14"/>
  <c r="J41" i="7" s="1"/>
  <c r="J28" i="14"/>
  <c r="J42" i="7" s="1"/>
  <c r="J29" i="14"/>
  <c r="J43" i="7" s="1"/>
  <c r="J30" i="14"/>
  <c r="J44" i="7" s="1"/>
  <c r="J31" i="14"/>
  <c r="J45" i="7" s="1"/>
  <c r="J32" i="14"/>
  <c r="J46" i="7" s="1"/>
  <c r="J33" i="14"/>
  <c r="J47" i="7" s="1"/>
  <c r="J34" i="14"/>
  <c r="J48" i="7" s="1"/>
  <c r="J35" i="14"/>
  <c r="J49" i="7" s="1"/>
  <c r="J36" i="14"/>
  <c r="J50" i="7" s="1"/>
  <c r="J37" i="14"/>
  <c r="J51" i="7" s="1"/>
  <c r="J38" i="14"/>
  <c r="J52" i="7" s="1"/>
  <c r="J39" i="14"/>
  <c r="J53" i="7" s="1"/>
  <c r="J40" i="14"/>
  <c r="J54" i="7" s="1"/>
  <c r="J41" i="14"/>
  <c r="J55" i="7" s="1"/>
  <c r="J42" i="14"/>
  <c r="J56" i="7" s="1"/>
  <c r="J43" i="14"/>
  <c r="J57" i="7" s="1"/>
  <c r="J44" i="14"/>
  <c r="J58" i="7" s="1"/>
  <c r="J45" i="14"/>
  <c r="J59" i="7" s="1"/>
  <c r="J46" i="14"/>
  <c r="J60" i="7" s="1"/>
  <c r="J47" i="14"/>
  <c r="J61" i="7" s="1"/>
  <c r="J48" i="14"/>
  <c r="J62" i="7" s="1"/>
  <c r="J49" i="14"/>
  <c r="J63" i="7" s="1"/>
  <c r="J50" i="14"/>
  <c r="J64" i="7" s="1"/>
  <c r="J51" i="14"/>
  <c r="J65" i="7" s="1"/>
  <c r="J52" i="14"/>
  <c r="J66" i="7" s="1"/>
  <c r="J53" i="14"/>
  <c r="J67" i="7" s="1"/>
  <c r="J54" i="14"/>
  <c r="J68" i="7" s="1"/>
  <c r="J55" i="14"/>
  <c r="J69" i="7" s="1"/>
  <c r="J56" i="14"/>
  <c r="J70" i="7" s="1"/>
  <c r="J57" i="14"/>
  <c r="J71" i="7" s="1"/>
  <c r="J58" i="14"/>
  <c r="J72" i="7" s="1"/>
  <c r="J59" i="14"/>
  <c r="J73" i="7" s="1"/>
  <c r="J60" i="14"/>
  <c r="J74" i="7" s="1"/>
  <c r="J61" i="14"/>
  <c r="J75" i="7" s="1"/>
  <c r="J62" i="14"/>
  <c r="J76" i="7" s="1"/>
  <c r="J63" i="14"/>
  <c r="J77" i="7" s="1"/>
  <c r="J64" i="14"/>
  <c r="J78" i="7" s="1"/>
  <c r="J65" i="14"/>
  <c r="J79" i="7" s="1"/>
  <c r="J66" i="14"/>
  <c r="J80" i="7" s="1"/>
  <c r="J67" i="14"/>
  <c r="J81" i="7" s="1"/>
  <c r="J68" i="14"/>
  <c r="J82" i="7" s="1"/>
  <c r="J69" i="14"/>
  <c r="J83" i="7" s="1"/>
  <c r="J70" i="14"/>
  <c r="J84" i="7" s="1"/>
  <c r="J71" i="14"/>
  <c r="J85" i="7" s="1"/>
  <c r="J72" i="14"/>
  <c r="J86" i="7" s="1"/>
  <c r="J73" i="14"/>
  <c r="J87" i="7" s="1"/>
  <c r="J74" i="14"/>
  <c r="J88" i="7" s="1"/>
  <c r="J75" i="14"/>
  <c r="J89" i="7" s="1"/>
  <c r="J76" i="14"/>
  <c r="J90" i="7" s="1"/>
  <c r="J77" i="14"/>
  <c r="J91" i="7" s="1"/>
  <c r="J78" i="14"/>
  <c r="J92" i="7" s="1"/>
  <c r="J79" i="14"/>
  <c r="J93" i="7" s="1"/>
  <c r="J80" i="14"/>
  <c r="J94" i="7" s="1"/>
  <c r="J81" i="14"/>
  <c r="J95" i="7" s="1"/>
  <c r="J82" i="14"/>
  <c r="J96" i="7" s="1"/>
  <c r="J83" i="14"/>
  <c r="J97" i="7" s="1"/>
  <c r="J84" i="14"/>
  <c r="J98" i="7" s="1"/>
  <c r="J85" i="14"/>
  <c r="J99" i="7" s="1"/>
  <c r="J86" i="14"/>
  <c r="J100" i="7" s="1"/>
  <c r="J87" i="14"/>
  <c r="J101" i="7" s="1"/>
  <c r="J88" i="14"/>
  <c r="J102" i="7" s="1"/>
  <c r="J89" i="14"/>
  <c r="J103" i="7" s="1"/>
  <c r="J90" i="14"/>
  <c r="J104" i="7" s="1"/>
  <c r="J91" i="14"/>
  <c r="J105" i="7" s="1"/>
  <c r="J92" i="14"/>
  <c r="J106" i="7" s="1"/>
  <c r="J93" i="14"/>
  <c r="J107" i="7" s="1"/>
  <c r="J94" i="14"/>
  <c r="J108" i="7" s="1"/>
  <c r="J95" i="14"/>
  <c r="J109" i="7" s="1"/>
  <c r="J96" i="14"/>
  <c r="J110" i="7" s="1"/>
  <c r="J97" i="14"/>
  <c r="J111" i="7" s="1"/>
  <c r="J98" i="14"/>
  <c r="J112" i="7" s="1"/>
  <c r="J99" i="14"/>
  <c r="J113" i="7" s="1"/>
  <c r="J100" i="14"/>
  <c r="J114" i="7" s="1"/>
  <c r="J101" i="14"/>
  <c r="J115" i="7" s="1"/>
  <c r="J102" i="14"/>
  <c r="J116" i="7" s="1"/>
  <c r="J103" i="14"/>
  <c r="J130" i="7" s="1"/>
  <c r="J104" i="14"/>
  <c r="J131" i="7" s="1"/>
  <c r="J105" i="14"/>
  <c r="J132" i="7" s="1"/>
  <c r="J106" i="14"/>
  <c r="J133" i="7" s="1"/>
  <c r="J107" i="14"/>
  <c r="J134" i="7" s="1"/>
  <c r="J108" i="14"/>
  <c r="J135" i="7" s="1"/>
  <c r="J109" i="14"/>
  <c r="J136" i="7" s="1"/>
  <c r="J110" i="14"/>
  <c r="J137" i="7" s="1"/>
  <c r="J111" i="14"/>
  <c r="J138" i="7" s="1"/>
  <c r="J112" i="14"/>
  <c r="J139" i="7" s="1"/>
  <c r="J113" i="14"/>
  <c r="J140" i="7" s="1"/>
  <c r="J114" i="14"/>
  <c r="J141" i="7" s="1"/>
  <c r="J115" i="14"/>
  <c r="J142" i="7" s="1"/>
  <c r="J116" i="14"/>
  <c r="J143" i="7" s="1"/>
  <c r="J117" i="14"/>
  <c r="J144" i="7" s="1"/>
  <c r="J118" i="14"/>
  <c r="J145" i="7" s="1"/>
  <c r="J119" i="14"/>
  <c r="J146" i="7" s="1"/>
  <c r="J120" i="14"/>
  <c r="J147" i="7" s="1"/>
  <c r="J121" i="14"/>
  <c r="J148" i="7" s="1"/>
  <c r="J122" i="14"/>
  <c r="J149" i="7" s="1"/>
  <c r="J2" i="14"/>
  <c r="J9" i="7" s="1"/>
  <c r="H2" i="14"/>
  <c r="K2" i="14" s="1"/>
  <c r="J121" i="7" l="1"/>
  <c r="J129" i="7"/>
  <c r="J125" i="7"/>
  <c r="J2" i="7"/>
  <c r="J6" i="7"/>
  <c r="J10" i="7"/>
  <c r="J14" i="7"/>
  <c r="J18" i="7"/>
  <c r="J22" i="7"/>
  <c r="J118" i="7"/>
  <c r="J122" i="7"/>
  <c r="J126" i="7"/>
  <c r="J3" i="7"/>
  <c r="J7" i="7"/>
  <c r="J11" i="7"/>
  <c r="J15" i="7"/>
  <c r="J19" i="7"/>
  <c r="J23" i="7"/>
  <c r="J119" i="7"/>
  <c r="J123" i="7"/>
  <c r="J127" i="7"/>
  <c r="I2" i="7"/>
  <c r="J4" i="7"/>
  <c r="J8" i="7"/>
  <c r="J16" i="7"/>
  <c r="J28" i="7"/>
  <c r="J120" i="7"/>
  <c r="J124" i="7"/>
  <c r="J128" i="7"/>
  <c r="J13" i="7"/>
  <c r="J17" i="7"/>
  <c r="J117" i="7"/>
  <c r="I146" i="7"/>
  <c r="D2" i="1"/>
  <c r="F2" i="1"/>
  <c r="D2" i="14"/>
  <c r="H2" i="7" s="1"/>
  <c r="F3" i="1"/>
  <c r="H3" i="14"/>
  <c r="F4" i="1"/>
  <c r="H4" i="14"/>
  <c r="I8" i="7"/>
  <c r="F5" i="1"/>
  <c r="H5" i="14"/>
  <c r="F6" i="1"/>
  <c r="H6" i="14"/>
  <c r="I20" i="7" s="1"/>
  <c r="F7" i="1"/>
  <c r="H7" i="14"/>
  <c r="K7" i="14" s="1"/>
  <c r="F8" i="1"/>
  <c r="H8" i="14"/>
  <c r="I120" i="7" s="1"/>
  <c r="F9" i="1"/>
  <c r="F10" i="1"/>
  <c r="H10" i="14"/>
  <c r="I24" i="7" s="1"/>
  <c r="F11" i="1"/>
  <c r="H11" i="14"/>
  <c r="F12" i="1"/>
  <c r="H12" i="14"/>
  <c r="F13" i="1"/>
  <c r="H13" i="14"/>
  <c r="F16" i="1"/>
  <c r="H91" i="14"/>
  <c r="F15" i="1"/>
  <c r="H15" i="14"/>
  <c r="H16" i="14"/>
  <c r="F17" i="1"/>
  <c r="H17" i="14"/>
  <c r="F18" i="1"/>
  <c r="H18" i="14"/>
  <c r="F19" i="1"/>
  <c r="H19" i="14"/>
  <c r="H20" i="14"/>
  <c r="H21" i="14"/>
  <c r="H22" i="14"/>
  <c r="H23" i="14"/>
  <c r="H24" i="14"/>
  <c r="H25" i="14"/>
  <c r="H26" i="14"/>
  <c r="K26" i="14" s="1"/>
  <c r="H27" i="14"/>
  <c r="H28" i="14"/>
  <c r="H29" i="14"/>
  <c r="H30" i="14"/>
  <c r="K30" i="14" s="1"/>
  <c r="H31" i="14"/>
  <c r="H32" i="14"/>
  <c r="H33" i="14"/>
  <c r="H34" i="14"/>
  <c r="K34" i="14" s="1"/>
  <c r="H35" i="14"/>
  <c r="H36" i="14"/>
  <c r="H37" i="14"/>
  <c r="H38" i="14"/>
  <c r="H39" i="14"/>
  <c r="H40" i="14"/>
  <c r="H41" i="14"/>
  <c r="H42" i="14"/>
  <c r="K42" i="14" s="1"/>
  <c r="H43" i="14"/>
  <c r="H44" i="14"/>
  <c r="H45" i="14"/>
  <c r="H46" i="14"/>
  <c r="K46" i="14" s="1"/>
  <c r="H47" i="14"/>
  <c r="H48" i="14"/>
  <c r="H49" i="14"/>
  <c r="K49" i="14" s="1"/>
  <c r="H50" i="14"/>
  <c r="K50" i="14" s="1"/>
  <c r="H51" i="14"/>
  <c r="H52" i="14"/>
  <c r="H53" i="14"/>
  <c r="H54" i="14"/>
  <c r="H55" i="14"/>
  <c r="H56" i="14"/>
  <c r="H57" i="14"/>
  <c r="H58" i="14"/>
  <c r="K58" i="14" s="1"/>
  <c r="H59" i="14"/>
  <c r="H60" i="14"/>
  <c r="H61" i="14"/>
  <c r="H62" i="14"/>
  <c r="K62" i="14" s="1"/>
  <c r="H63" i="14"/>
  <c r="H64" i="14"/>
  <c r="H65" i="14"/>
  <c r="H66" i="14"/>
  <c r="K66" i="14" s="1"/>
  <c r="H67" i="14"/>
  <c r="H68" i="14"/>
  <c r="H69" i="14"/>
  <c r="H70" i="14"/>
  <c r="H71" i="14"/>
  <c r="H72" i="14"/>
  <c r="H73" i="14"/>
  <c r="H74" i="14"/>
  <c r="H75" i="14"/>
  <c r="H76" i="14"/>
  <c r="H77" i="14"/>
  <c r="H78" i="14"/>
  <c r="K78" i="14" s="1"/>
  <c r="H79" i="14"/>
  <c r="H80" i="14"/>
  <c r="H81" i="14"/>
  <c r="H82" i="14"/>
  <c r="K82" i="14" s="1"/>
  <c r="H83" i="14"/>
  <c r="H84" i="14"/>
  <c r="H85" i="14"/>
  <c r="H86" i="14"/>
  <c r="H87" i="14"/>
  <c r="H88" i="14"/>
  <c r="H89" i="14"/>
  <c r="H90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K108" i="14" s="1"/>
  <c r="H109" i="14"/>
  <c r="H110" i="14"/>
  <c r="H111" i="14"/>
  <c r="H112" i="14"/>
  <c r="K112" i="14" s="1"/>
  <c r="H113" i="14"/>
  <c r="H114" i="14"/>
  <c r="H115" i="14"/>
  <c r="H116" i="14"/>
  <c r="K116" i="14" s="1"/>
  <c r="H117" i="14"/>
  <c r="H118" i="14"/>
  <c r="F20" i="1"/>
  <c r="I147" i="7"/>
  <c r="I148" i="7"/>
  <c r="F21" i="1"/>
  <c r="H122" i="14"/>
  <c r="D3" i="14"/>
  <c r="H4" i="7" s="1"/>
  <c r="D4" i="14"/>
  <c r="H6" i="7" s="1"/>
  <c r="D5" i="14"/>
  <c r="H13" i="7" s="1"/>
  <c r="D6" i="14"/>
  <c r="H14" i="7" s="1"/>
  <c r="D7" i="14"/>
  <c r="H15" i="7" s="1"/>
  <c r="D8" i="14"/>
  <c r="H16" i="7" s="1"/>
  <c r="D9" i="14"/>
  <c r="H17" i="7" s="1"/>
  <c r="D10" i="14"/>
  <c r="H18" i="7" s="1"/>
  <c r="D11" i="14"/>
  <c r="H25" i="7" s="1"/>
  <c r="D12" i="14"/>
  <c r="H26" i="7" s="1"/>
  <c r="D13" i="14"/>
  <c r="H27" i="7" s="1"/>
  <c r="D91" i="14"/>
  <c r="H28" i="7" s="1"/>
  <c r="D15" i="14"/>
  <c r="H29" i="7" s="1"/>
  <c r="D16" i="14"/>
  <c r="H30" i="7" s="1"/>
  <c r="D17" i="14"/>
  <c r="H31" i="7" s="1"/>
  <c r="D18" i="14"/>
  <c r="H32" i="7" s="1"/>
  <c r="D19" i="14"/>
  <c r="H33" i="7" s="1"/>
  <c r="D20" i="14"/>
  <c r="H34" i="7" s="1"/>
  <c r="D21" i="14"/>
  <c r="H35" i="7" s="1"/>
  <c r="D22" i="14"/>
  <c r="H36" i="7" s="1"/>
  <c r="D23" i="14"/>
  <c r="H37" i="7" s="1"/>
  <c r="D24" i="14"/>
  <c r="H38" i="7" s="1"/>
  <c r="D25" i="14"/>
  <c r="H39" i="7" s="1"/>
  <c r="D26" i="14"/>
  <c r="H40" i="7" s="1"/>
  <c r="D27" i="14"/>
  <c r="H41" i="7" s="1"/>
  <c r="D28" i="14"/>
  <c r="H42" i="7" s="1"/>
  <c r="D29" i="14"/>
  <c r="H43" i="7" s="1"/>
  <c r="D30" i="14"/>
  <c r="H44" i="7" s="1"/>
  <c r="D31" i="14"/>
  <c r="H45" i="7" s="1"/>
  <c r="D32" i="14"/>
  <c r="H46" i="7" s="1"/>
  <c r="D33" i="14"/>
  <c r="H47" i="7" s="1"/>
  <c r="D34" i="14"/>
  <c r="H48" i="7" s="1"/>
  <c r="D35" i="14"/>
  <c r="H49" i="7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H55" i="7" s="1"/>
  <c r="D42" i="14"/>
  <c r="H56" i="7" s="1"/>
  <c r="D43" i="14"/>
  <c r="H57" i="7" s="1"/>
  <c r="D44" i="14"/>
  <c r="H58" i="7" s="1"/>
  <c r="D45" i="14"/>
  <c r="H59" i="7" s="1"/>
  <c r="D46" i="14"/>
  <c r="H60" i="7" s="1"/>
  <c r="D47" i="14"/>
  <c r="H61" i="7" s="1"/>
  <c r="D48" i="14"/>
  <c r="H62" i="7" s="1"/>
  <c r="D49" i="14"/>
  <c r="H63" i="7" s="1"/>
  <c r="D50" i="14"/>
  <c r="H64" i="7" s="1"/>
  <c r="D51" i="14"/>
  <c r="H65" i="7" s="1"/>
  <c r="D52" i="14"/>
  <c r="H66" i="7" s="1"/>
  <c r="D53" i="14"/>
  <c r="H67" i="7" s="1"/>
  <c r="D54" i="14"/>
  <c r="H68" i="7" s="1"/>
  <c r="D55" i="14"/>
  <c r="H69" i="7" s="1"/>
  <c r="D56" i="14"/>
  <c r="H70" i="7" s="1"/>
  <c r="D57" i="14"/>
  <c r="H71" i="7" s="1"/>
  <c r="D58" i="14"/>
  <c r="H72" i="7" s="1"/>
  <c r="D59" i="14"/>
  <c r="H73" i="7" s="1"/>
  <c r="D60" i="14"/>
  <c r="H74" i="7" s="1"/>
  <c r="D61" i="14"/>
  <c r="H75" i="7" s="1"/>
  <c r="D62" i="14"/>
  <c r="H76" i="7" s="1"/>
  <c r="D63" i="14"/>
  <c r="H77" i="7" s="1"/>
  <c r="D64" i="14"/>
  <c r="H78" i="7" s="1"/>
  <c r="D65" i="14"/>
  <c r="H79" i="7" s="1"/>
  <c r="D66" i="14"/>
  <c r="H80" i="7" s="1"/>
  <c r="D67" i="14"/>
  <c r="H81" i="7" s="1"/>
  <c r="D68" i="14"/>
  <c r="H82" i="7" s="1"/>
  <c r="D69" i="14"/>
  <c r="H83" i="7" s="1"/>
  <c r="D70" i="14"/>
  <c r="H84" i="7" s="1"/>
  <c r="D71" i="14"/>
  <c r="H85" i="7" s="1"/>
  <c r="D72" i="14"/>
  <c r="H86" i="7" s="1"/>
  <c r="D73" i="14"/>
  <c r="H87" i="7" s="1"/>
  <c r="D74" i="14"/>
  <c r="H88" i="7" s="1"/>
  <c r="D75" i="14"/>
  <c r="H89" i="7" s="1"/>
  <c r="D76" i="14"/>
  <c r="H90" i="7" s="1"/>
  <c r="D77" i="14"/>
  <c r="H91" i="7" s="1"/>
  <c r="D78" i="14"/>
  <c r="H92" i="7" s="1"/>
  <c r="D79" i="14"/>
  <c r="H93" i="7" s="1"/>
  <c r="D80" i="14"/>
  <c r="H94" i="7" s="1"/>
  <c r="D81" i="14"/>
  <c r="H95" i="7" s="1"/>
  <c r="D82" i="14"/>
  <c r="H96" i="7" s="1"/>
  <c r="D83" i="14"/>
  <c r="H97" i="7" s="1"/>
  <c r="D84" i="14"/>
  <c r="H98" i="7" s="1"/>
  <c r="D85" i="14"/>
  <c r="H99" i="7" s="1"/>
  <c r="D86" i="14"/>
  <c r="H100" i="7" s="1"/>
  <c r="D87" i="14"/>
  <c r="H101" i="7" s="1"/>
  <c r="D88" i="14"/>
  <c r="H102" i="7" s="1"/>
  <c r="D89" i="14"/>
  <c r="H103" i="7" s="1"/>
  <c r="D90" i="14"/>
  <c r="H104" i="7" s="1"/>
  <c r="D92" i="14"/>
  <c r="H106" i="7" s="1"/>
  <c r="D93" i="14"/>
  <c r="H107" i="7" s="1"/>
  <c r="D94" i="14"/>
  <c r="H108" i="7" s="1"/>
  <c r="D95" i="14"/>
  <c r="H109" i="7" s="1"/>
  <c r="D96" i="14"/>
  <c r="H110" i="7" s="1"/>
  <c r="D97" i="14"/>
  <c r="H111" i="7" s="1"/>
  <c r="D98" i="14"/>
  <c r="H112" i="7" s="1"/>
  <c r="D99" i="14"/>
  <c r="H113" i="7" s="1"/>
  <c r="D100" i="14"/>
  <c r="H114" i="7" s="1"/>
  <c r="D101" i="14"/>
  <c r="H115" i="7" s="1"/>
  <c r="D102" i="14"/>
  <c r="H116" i="7" s="1"/>
  <c r="D103" i="14"/>
  <c r="H130" i="7" s="1"/>
  <c r="D104" i="14"/>
  <c r="H131" i="7" s="1"/>
  <c r="D105" i="14"/>
  <c r="H132" i="7" s="1"/>
  <c r="D106" i="14"/>
  <c r="H133" i="7" s="1"/>
  <c r="D107" i="14"/>
  <c r="H134" i="7" s="1"/>
  <c r="D108" i="14"/>
  <c r="H135" i="7" s="1"/>
  <c r="D109" i="14"/>
  <c r="H136" i="7" s="1"/>
  <c r="D110" i="14"/>
  <c r="H137" i="7" s="1"/>
  <c r="D111" i="14"/>
  <c r="H138" i="7" s="1"/>
  <c r="D112" i="14"/>
  <c r="H139" i="7" s="1"/>
  <c r="D113" i="14"/>
  <c r="H140" i="7" s="1"/>
  <c r="D114" i="14"/>
  <c r="H141" i="7" s="1"/>
  <c r="D115" i="14"/>
  <c r="H142" i="7" s="1"/>
  <c r="D116" i="14"/>
  <c r="H143" i="7" s="1"/>
  <c r="D117" i="14"/>
  <c r="H144" i="7" s="1"/>
  <c r="D118" i="14"/>
  <c r="H145" i="7" s="1"/>
  <c r="H149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 s="1"/>
  <c r="D14" i="14"/>
  <c r="E14" i="14" s="1"/>
  <c r="F16" i="5"/>
  <c r="G122" i="14"/>
  <c r="F18" i="5"/>
  <c r="E119" i="14"/>
  <c r="G119" i="14"/>
  <c r="E120" i="14"/>
  <c r="G120" i="14"/>
  <c r="E121" i="14"/>
  <c r="G121" i="14"/>
  <c r="G2" i="30"/>
  <c r="F2" i="30"/>
  <c r="E113" i="14"/>
  <c r="F17" i="5"/>
  <c r="G113" i="14"/>
  <c r="G114" i="14"/>
  <c r="G115" i="14"/>
  <c r="G116" i="14"/>
  <c r="G117" i="14"/>
  <c r="G118" i="14"/>
  <c r="E109" i="14"/>
  <c r="G103" i="14"/>
  <c r="G104" i="14"/>
  <c r="G105" i="14"/>
  <c r="G106" i="14"/>
  <c r="G107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F3" i="5"/>
  <c r="G20" i="14"/>
  <c r="F4" i="5"/>
  <c r="G21" i="14"/>
  <c r="F6" i="5"/>
  <c r="G22" i="14"/>
  <c r="F8" i="5"/>
  <c r="G23" i="14"/>
  <c r="F11" i="5"/>
  <c r="G24" i="14"/>
  <c r="G25" i="14"/>
  <c r="G26" i="14"/>
  <c r="G27" i="14"/>
  <c r="G28" i="14"/>
  <c r="G29" i="14"/>
  <c r="G30" i="14"/>
  <c r="G31" i="14"/>
  <c r="G32" i="14"/>
  <c r="G33" i="14"/>
  <c r="G34" i="14"/>
  <c r="F13" i="5"/>
  <c r="G35" i="14"/>
  <c r="F15" i="5"/>
  <c r="G36" i="14"/>
  <c r="G37" i="14"/>
  <c r="G38" i="14"/>
  <c r="G39" i="14"/>
  <c r="G40" i="14"/>
  <c r="G41" i="14"/>
  <c r="G42" i="14"/>
  <c r="G43" i="14"/>
  <c r="F5" i="5"/>
  <c r="G44" i="14"/>
  <c r="F7" i="5"/>
  <c r="G45" i="14"/>
  <c r="G46" i="14"/>
  <c r="G47" i="14"/>
  <c r="G48" i="14"/>
  <c r="G49" i="14"/>
  <c r="G50" i="14"/>
  <c r="G51" i="14"/>
  <c r="F14" i="5"/>
  <c r="G52" i="14"/>
  <c r="G53" i="14"/>
  <c r="G54" i="14"/>
  <c r="G55" i="14"/>
  <c r="G56" i="14"/>
  <c r="G57" i="14"/>
  <c r="G58" i="14"/>
  <c r="G59" i="14"/>
  <c r="G60" i="14"/>
  <c r="F12" i="5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8" i="14"/>
  <c r="G109" i="14"/>
  <c r="G110" i="14"/>
  <c r="G111" i="14"/>
  <c r="G112" i="14"/>
  <c r="E112" i="14"/>
  <c r="D3" i="18"/>
  <c r="D4" i="18"/>
  <c r="D5" i="18"/>
  <c r="D6" i="18"/>
  <c r="D7" i="18"/>
  <c r="D8" i="18"/>
  <c r="D9" i="18"/>
  <c r="D10" i="18"/>
  <c r="D11" i="18"/>
  <c r="D2" i="18"/>
  <c r="F2" i="5"/>
  <c r="F9" i="5"/>
  <c r="F10" i="5"/>
  <c r="E88" i="14"/>
  <c r="E87" i="14"/>
  <c r="E83" i="14"/>
  <c r="E79" i="14"/>
  <c r="E77" i="14"/>
  <c r="E75" i="14"/>
  <c r="E68" i="14"/>
  <c r="E67" i="14"/>
  <c r="E60" i="14"/>
  <c r="E59" i="14"/>
  <c r="E56" i="14"/>
  <c r="E51" i="14"/>
  <c r="E48" i="14"/>
  <c r="E47" i="14"/>
  <c r="E39" i="14"/>
  <c r="E32" i="14"/>
  <c r="E31" i="14"/>
  <c r="E27" i="14"/>
  <c r="E24" i="14"/>
  <c r="E23" i="14"/>
  <c r="E20" i="14"/>
  <c r="E35" i="14"/>
  <c r="E36" i="14"/>
  <c r="E43" i="14"/>
  <c r="E44" i="14"/>
  <c r="E52" i="14"/>
  <c r="E55" i="14"/>
  <c r="E63" i="14"/>
  <c r="E71" i="14"/>
  <c r="E92" i="14"/>
  <c r="E100" i="14"/>
  <c r="E16" i="14"/>
  <c r="E12" i="14"/>
  <c r="E8" i="14"/>
  <c r="E4" i="14"/>
  <c r="E64" i="14"/>
  <c r="E3" i="14"/>
  <c r="E7" i="14"/>
  <c r="E11" i="14"/>
  <c r="E15" i="14"/>
  <c r="E19" i="14"/>
  <c r="E40" i="14"/>
  <c r="E28" i="14"/>
  <c r="E110" i="14" l="1"/>
  <c r="E5" i="14"/>
  <c r="E89" i="14"/>
  <c r="E53" i="14"/>
  <c r="E6" i="14"/>
  <c r="E18" i="14"/>
  <c r="E85" i="14"/>
  <c r="E54" i="14"/>
  <c r="E22" i="14"/>
  <c r="E30" i="14"/>
  <c r="E58" i="14"/>
  <c r="E95" i="14"/>
  <c r="E91" i="14"/>
  <c r="E66" i="14"/>
  <c r="K44" i="7" a="1"/>
  <c r="K44" i="7" s="1"/>
  <c r="E90" i="14"/>
  <c r="E50" i="14"/>
  <c r="E26" i="14"/>
  <c r="E86" i="14"/>
  <c r="E10" i="14"/>
  <c r="E46" i="14"/>
  <c r="E78" i="14"/>
  <c r="E38" i="14"/>
  <c r="E70" i="14"/>
  <c r="E42" i="14"/>
  <c r="E99" i="14"/>
  <c r="E82" i="14"/>
  <c r="E34" i="14"/>
  <c r="E62" i="14"/>
  <c r="E74" i="14"/>
  <c r="K10" i="7" a="1"/>
  <c r="K10" i="7" s="1"/>
  <c r="E37" i="14"/>
  <c r="E73" i="14"/>
  <c r="E96" i="14"/>
  <c r="E81" i="14"/>
  <c r="E98" i="14"/>
  <c r="E108" i="14"/>
  <c r="E9" i="14"/>
  <c r="E2" i="14"/>
  <c r="E102" i="14"/>
  <c r="E21" i="14"/>
  <c r="E25" i="14"/>
  <c r="E94" i="14"/>
  <c r="H3" i="7"/>
  <c r="E84" i="14"/>
  <c r="E72" i="14"/>
  <c r="E45" i="14"/>
  <c r="E29" i="14"/>
  <c r="E33" i="14"/>
  <c r="E41" i="14"/>
  <c r="E105" i="14"/>
  <c r="H9" i="7"/>
  <c r="I40" i="7"/>
  <c r="E17" i="14"/>
  <c r="E49" i="14"/>
  <c r="E57" i="14"/>
  <c r="E61" i="14"/>
  <c r="K76" i="7" a="1"/>
  <c r="K76" i="7" s="1"/>
  <c r="K43" i="7" a="1"/>
  <c r="K43" i="7" s="1"/>
  <c r="K26" i="7" a="1"/>
  <c r="K26" i="7" s="1"/>
  <c r="K77" i="7" a="1"/>
  <c r="K77" i="7" s="1"/>
  <c r="K75" i="7" a="1"/>
  <c r="K75" i="7" s="1"/>
  <c r="E13" i="14"/>
  <c r="E101" i="14"/>
  <c r="E80" i="14"/>
  <c r="E65" i="14"/>
  <c r="E69" i="14"/>
  <c r="E76" i="14"/>
  <c r="E93" i="14"/>
  <c r="E97" i="14"/>
  <c r="H122" i="7"/>
  <c r="I80" i="7"/>
  <c r="I76" i="7"/>
  <c r="K31" i="7" a="1"/>
  <c r="K31" i="7" s="1"/>
  <c r="K84" i="7" a="1"/>
  <c r="K84" i="7" s="1"/>
  <c r="E111" i="14"/>
  <c r="E103" i="14"/>
  <c r="H128" i="7"/>
  <c r="K42" i="7" a="1"/>
  <c r="K42" i="7" s="1"/>
  <c r="K27" i="7" a="1"/>
  <c r="K27" i="7" s="1"/>
  <c r="I60" i="7"/>
  <c r="H117" i="7"/>
  <c r="I56" i="7"/>
  <c r="K20" i="7" a="1"/>
  <c r="K20" i="7" s="1"/>
  <c r="K8" i="7" a="1"/>
  <c r="K8" i="7" s="1"/>
  <c r="H23" i="7"/>
  <c r="H12" i="7"/>
  <c r="I143" i="7"/>
  <c r="I139" i="7"/>
  <c r="I136" i="7"/>
  <c r="K109" i="14"/>
  <c r="I133" i="7"/>
  <c r="K106" i="14"/>
  <c r="I113" i="7"/>
  <c r="K99" i="14"/>
  <c r="I109" i="7"/>
  <c r="K95" i="14"/>
  <c r="I104" i="7"/>
  <c r="K90" i="14"/>
  <c r="I100" i="7"/>
  <c r="K86" i="14"/>
  <c r="I96" i="7"/>
  <c r="I93" i="7"/>
  <c r="K79" i="14"/>
  <c r="I90" i="7"/>
  <c r="K76" i="14"/>
  <c r="I86" i="7"/>
  <c r="K72" i="14"/>
  <c r="I82" i="7"/>
  <c r="K68" i="14"/>
  <c r="I79" i="7"/>
  <c r="K65" i="14"/>
  <c r="I72" i="7"/>
  <c r="I69" i="7"/>
  <c r="K55" i="14"/>
  <c r="I65" i="7"/>
  <c r="K51" i="14"/>
  <c r="I62" i="7"/>
  <c r="K48" i="14"/>
  <c r="I59" i="7"/>
  <c r="K45" i="14"/>
  <c r="I52" i="7"/>
  <c r="K38" i="14"/>
  <c r="I48" i="7"/>
  <c r="I45" i="7"/>
  <c r="K31" i="14"/>
  <c r="I42" i="7"/>
  <c r="K28" i="14"/>
  <c r="I39" i="7"/>
  <c r="K25" i="14"/>
  <c r="I35" i="7"/>
  <c r="K21" i="14"/>
  <c r="I32" i="7"/>
  <c r="K18" i="14"/>
  <c r="I30" i="7"/>
  <c r="K16" i="14"/>
  <c r="I4" i="7"/>
  <c r="K3" i="14"/>
  <c r="K41" i="7" a="1"/>
  <c r="K41" i="7" s="1"/>
  <c r="K24" i="7" a="1"/>
  <c r="K24" i="7" s="1"/>
  <c r="H19" i="7"/>
  <c r="I149" i="7"/>
  <c r="K122" i="14"/>
  <c r="I142" i="7"/>
  <c r="K115" i="14"/>
  <c r="I135" i="7"/>
  <c r="I132" i="7"/>
  <c r="K105" i="14"/>
  <c r="I116" i="7"/>
  <c r="K102" i="14"/>
  <c r="I112" i="7"/>
  <c r="K98" i="14"/>
  <c r="I108" i="7"/>
  <c r="K94" i="14"/>
  <c r="I103" i="7"/>
  <c r="K89" i="14"/>
  <c r="I99" i="7"/>
  <c r="K85" i="14"/>
  <c r="I92" i="7"/>
  <c r="I89" i="7"/>
  <c r="K75" i="14"/>
  <c r="I85" i="7"/>
  <c r="K71" i="14"/>
  <c r="I81" i="7"/>
  <c r="K67" i="14"/>
  <c r="I78" i="7"/>
  <c r="K64" i="14"/>
  <c r="I75" i="7"/>
  <c r="K61" i="14"/>
  <c r="I68" i="7"/>
  <c r="K54" i="14"/>
  <c r="I64" i="7"/>
  <c r="I61" i="7"/>
  <c r="K47" i="14"/>
  <c r="I58" i="7"/>
  <c r="K44" i="14"/>
  <c r="I55" i="7"/>
  <c r="K41" i="14"/>
  <c r="I51" i="7"/>
  <c r="K37" i="14"/>
  <c r="I44" i="7"/>
  <c r="I41" i="7"/>
  <c r="K27" i="14"/>
  <c r="I38" i="7"/>
  <c r="K24" i="14"/>
  <c r="I34" i="7"/>
  <c r="K20" i="14"/>
  <c r="I29" i="7"/>
  <c r="K15" i="14"/>
  <c r="I27" i="7"/>
  <c r="K13" i="14"/>
  <c r="I25" i="7"/>
  <c r="K11" i="14"/>
  <c r="I18" i="7"/>
  <c r="K10" i="14"/>
  <c r="I22" i="7"/>
  <c r="K8" i="14"/>
  <c r="I14" i="7"/>
  <c r="K6" i="14"/>
  <c r="K30" i="7" a="1"/>
  <c r="K30" i="7" s="1"/>
  <c r="K22" i="7" a="1"/>
  <c r="K22" i="7" s="1"/>
  <c r="I145" i="7"/>
  <c r="K118" i="14"/>
  <c r="I141" i="7"/>
  <c r="K114" i="14"/>
  <c r="I138" i="7"/>
  <c r="K111" i="14"/>
  <c r="I131" i="7"/>
  <c r="K104" i="14"/>
  <c r="I115" i="7"/>
  <c r="K101" i="14"/>
  <c r="I111" i="7"/>
  <c r="K97" i="14"/>
  <c r="I107" i="7"/>
  <c r="K93" i="14"/>
  <c r="I102" i="7"/>
  <c r="K88" i="14"/>
  <c r="I98" i="7"/>
  <c r="K84" i="14"/>
  <c r="I95" i="7"/>
  <c r="K81" i="14"/>
  <c r="I88" i="7"/>
  <c r="K74" i="14"/>
  <c r="I84" i="7"/>
  <c r="K70" i="14"/>
  <c r="I77" i="7"/>
  <c r="K63" i="14"/>
  <c r="I74" i="7"/>
  <c r="K60" i="14"/>
  <c r="I71" i="7"/>
  <c r="K57" i="14"/>
  <c r="I67" i="7"/>
  <c r="K53" i="14"/>
  <c r="I57" i="7"/>
  <c r="K43" i="14"/>
  <c r="I54" i="7"/>
  <c r="K40" i="14"/>
  <c r="I50" i="7"/>
  <c r="K36" i="14"/>
  <c r="I47" i="7"/>
  <c r="K33" i="14"/>
  <c r="I37" i="7"/>
  <c r="K23" i="14"/>
  <c r="I33" i="7"/>
  <c r="K19" i="14"/>
  <c r="I31" i="7"/>
  <c r="K17" i="14"/>
  <c r="I6" i="7"/>
  <c r="K4" i="14"/>
  <c r="I144" i="7"/>
  <c r="K117" i="14"/>
  <c r="I140" i="7"/>
  <c r="K113" i="14"/>
  <c r="I137" i="7"/>
  <c r="K110" i="14"/>
  <c r="I134" i="7"/>
  <c r="K107" i="14"/>
  <c r="I130" i="7"/>
  <c r="K103" i="14"/>
  <c r="I114" i="7"/>
  <c r="K100" i="14"/>
  <c r="I110" i="7"/>
  <c r="K96" i="14"/>
  <c r="I106" i="7"/>
  <c r="K92" i="14"/>
  <c r="I101" i="7"/>
  <c r="K87" i="14"/>
  <c r="I97" i="7"/>
  <c r="K83" i="14"/>
  <c r="I94" i="7"/>
  <c r="K80" i="14"/>
  <c r="I91" i="7"/>
  <c r="K77" i="14"/>
  <c r="I87" i="7"/>
  <c r="K73" i="14"/>
  <c r="I83" i="7"/>
  <c r="K69" i="14"/>
  <c r="I73" i="7"/>
  <c r="K59" i="14"/>
  <c r="I70" i="7"/>
  <c r="K56" i="14"/>
  <c r="I66" i="7"/>
  <c r="K52" i="14"/>
  <c r="I63" i="7"/>
  <c r="I53" i="7"/>
  <c r="K39" i="14"/>
  <c r="I49" i="7"/>
  <c r="K35" i="14"/>
  <c r="I46" i="7"/>
  <c r="K32" i="14"/>
  <c r="I43" i="7"/>
  <c r="K29" i="14"/>
  <c r="I36" i="7"/>
  <c r="K22" i="14"/>
  <c r="I28" i="7"/>
  <c r="K91" i="14"/>
  <c r="I26" i="7"/>
  <c r="K12" i="14"/>
  <c r="I17" i="7"/>
  <c r="K9" i="14"/>
  <c r="I13" i="7"/>
  <c r="K5" i="14"/>
  <c r="K6" i="7" a="1"/>
  <c r="K6" i="7" s="1"/>
  <c r="K19" i="7" a="1"/>
  <c r="K19" i="7" s="1"/>
  <c r="K23" i="7" a="1"/>
  <c r="K23" i="7" s="1"/>
  <c r="K12" i="7" a="1"/>
  <c r="K12" i="7" s="1"/>
  <c r="K11" i="7" a="1"/>
  <c r="K11" i="7" s="1"/>
  <c r="K25" i="7" a="1"/>
  <c r="K25" i="7" s="1"/>
  <c r="K21" i="7" a="1"/>
  <c r="K21" i="7" s="1"/>
  <c r="H126" i="7"/>
  <c r="H121" i="7"/>
  <c r="H8" i="7"/>
  <c r="I126" i="7"/>
  <c r="I118" i="7"/>
  <c r="I105" i="7"/>
  <c r="K9" i="7" a="1"/>
  <c r="K9" i="7" s="1"/>
  <c r="H125" i="7"/>
  <c r="H120" i="7"/>
  <c r="H22" i="7"/>
  <c r="I123" i="7"/>
  <c r="I12" i="7"/>
  <c r="K7" i="7" a="1"/>
  <c r="K7" i="7" s="1"/>
  <c r="H129" i="7"/>
  <c r="H123" i="7"/>
  <c r="H118" i="7"/>
  <c r="I121" i="7"/>
  <c r="H124" i="7"/>
  <c r="H20" i="7"/>
  <c r="H10" i="7"/>
  <c r="H5" i="7"/>
  <c r="I129" i="7"/>
  <c r="I125" i="7"/>
  <c r="I16" i="7"/>
  <c r="I3" i="7"/>
  <c r="H127" i="7"/>
  <c r="H119" i="7"/>
  <c r="H24" i="7"/>
  <c r="I128" i="7"/>
  <c r="K5" i="7" a="1"/>
  <c r="K5" i="7" s="1"/>
  <c r="I127" i="7"/>
  <c r="I122" i="7"/>
  <c r="I117" i="7"/>
  <c r="I9" i="7"/>
  <c r="I15" i="7"/>
  <c r="I21" i="7"/>
  <c r="I119" i="7"/>
  <c r="I124" i="7"/>
  <c r="K4" i="7" a="1"/>
  <c r="K4" i="7" s="1"/>
  <c r="E106" i="14"/>
  <c r="E104" i="14"/>
  <c r="E107" i="14"/>
  <c r="E117" i="14"/>
  <c r="E115" i="14"/>
  <c r="E122" i="14"/>
  <c r="E118" i="14"/>
  <c r="E116" i="14"/>
  <c r="E114" i="14"/>
  <c r="H105" i="7"/>
  <c r="H21" i="7"/>
  <c r="H11" i="7"/>
  <c r="H7" i="7"/>
  <c r="I23" i="7"/>
  <c r="I19" i="7"/>
  <c r="I11" i="7"/>
  <c r="I7" i="7"/>
  <c r="I5" i="7"/>
  <c r="I10" i="7"/>
</calcChain>
</file>

<file path=xl/sharedStrings.xml><?xml version="1.0" encoding="utf-8"?>
<sst xmlns="http://schemas.openxmlformats.org/spreadsheetml/2006/main" count="539" uniqueCount="327">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</sst>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1"/>
  <sheetViews>
    <sheetView topLeftCell="A19" workbookViewId="0">
      <selection activeCell="C33" sqref="C33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239</v>
      </c>
    </row>
    <row r="2" spans="1:5" x14ac:dyDescent="0.2">
      <c r="A2">
        <v>1</v>
      </c>
      <c r="B2" s="6">
        <v>5.0000000000000001E-3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5.0000000000000001E-3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5.0000000000000001E-3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5.0000000000000001E-3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5.0000000000000001E-3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5.0000000000000001E-3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5.0000000000000001E-3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5.0000000000000001E-3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5.0000000000000001E-3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5.0000000000000001E-3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1.4999999999999999E-2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1.4999999999999999E-2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1.4999999999999999E-2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1.4999999999999999E-2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1.4999999999999999E-2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1.4999999999999999E-2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1.4999999999999999E-2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1.4999999999999999E-2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1.4999999999999999E-2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1.4999999999999999E-2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0.02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0.02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0.02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0.02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0.02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0.02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0.02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0.02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0.02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0.02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0.03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0.03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0.03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0.03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0.03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0.03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0.03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0.03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0.03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0.03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240</v>
      </c>
      <c r="B1" s="2" t="s">
        <v>241</v>
      </c>
      <c r="C1" s="2" t="s">
        <v>242</v>
      </c>
      <c r="D1" s="2" t="s">
        <v>243</v>
      </c>
      <c r="E1" s="2" t="s">
        <v>244</v>
      </c>
      <c r="F1" s="2" t="s">
        <v>245</v>
      </c>
      <c r="G1" s="2" t="s">
        <v>246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A3" sqref="A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300</v>
      </c>
      <c r="C1" s="1" t="s">
        <v>304</v>
      </c>
      <c r="D1" s="1" t="s">
        <v>305</v>
      </c>
      <c r="E1" s="1" t="s">
        <v>316</v>
      </c>
      <c r="F1" s="1" t="s">
        <v>318</v>
      </c>
      <c r="G1" s="1" t="s">
        <v>315</v>
      </c>
    </row>
    <row r="2" spans="1:7" x14ac:dyDescent="0.2">
      <c r="A2" s="2">
        <v>1</v>
      </c>
      <c r="B2" s="2" t="s">
        <v>309</v>
      </c>
      <c r="C2" s="2">
        <v>2</v>
      </c>
      <c r="D2" s="2">
        <v>3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311</v>
      </c>
      <c r="C3" s="2">
        <v>1</v>
      </c>
      <c r="D3" s="2">
        <v>1</v>
      </c>
      <c r="E3" s="2">
        <v>9999999999</v>
      </c>
      <c r="F3" s="2">
        <v>1</v>
      </c>
      <c r="G3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I11" sqref="I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298</v>
      </c>
      <c r="C1" s="1" t="s">
        <v>299</v>
      </c>
      <c r="D1" s="1" t="s">
        <v>301</v>
      </c>
      <c r="E1" s="1" t="s">
        <v>302</v>
      </c>
      <c r="F1" s="1" t="s">
        <v>303</v>
      </c>
      <c r="G1" s="1" t="s">
        <v>304</v>
      </c>
      <c r="H1" s="1" t="s">
        <v>306</v>
      </c>
      <c r="I1" s="1" t="s">
        <v>307</v>
      </c>
      <c r="J1" s="1" t="s">
        <v>317</v>
      </c>
      <c r="K1" s="1" t="s">
        <v>308</v>
      </c>
      <c r="L1" s="1"/>
    </row>
    <row r="2" spans="1:12" x14ac:dyDescent="0.2">
      <c r="A2" s="2">
        <v>1</v>
      </c>
      <c r="B2" s="2" t="s">
        <v>274</v>
      </c>
      <c r="C2" s="2">
        <v>1</v>
      </c>
      <c r="D2" t="s">
        <v>309</v>
      </c>
      <c r="E2" s="2">
        <v>300</v>
      </c>
      <c r="F2" s="2">
        <v>300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310</v>
      </c>
      <c r="C3" s="2">
        <v>1</v>
      </c>
      <c r="D3" t="s">
        <v>312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310</v>
      </c>
      <c r="C4" s="2">
        <v>2</v>
      </c>
      <c r="D4" t="s">
        <v>311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310</v>
      </c>
      <c r="C5" s="2">
        <v>3</v>
      </c>
      <c r="D5" t="s">
        <v>312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310</v>
      </c>
      <c r="C6" s="2">
        <v>4</v>
      </c>
      <c r="D6" t="s">
        <v>311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310</v>
      </c>
      <c r="C7" s="2">
        <v>5</v>
      </c>
      <c r="D7" t="s">
        <v>311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310</v>
      </c>
      <c r="C8" s="2">
        <v>6</v>
      </c>
      <c r="D8" t="s">
        <v>313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314</v>
      </c>
      <c r="C9" s="2">
        <v>7</v>
      </c>
      <c r="D9" t="s">
        <v>312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310</v>
      </c>
      <c r="C10" s="2">
        <v>8</v>
      </c>
      <c r="D10" t="s">
        <v>311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9"/>
  <sheetViews>
    <sheetView workbookViewId="0">
      <pane ySplit="1" topLeftCell="A128" activePane="bottomLeft" state="frozen"/>
      <selection pane="bottomLeft" activeCell="J155" sqref="J155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283</v>
      </c>
      <c r="I1" s="1" t="s">
        <v>289</v>
      </c>
      <c r="J1" s="10" t="s">
        <v>287</v>
      </c>
      <c r="K1" s="1" t="s">
        <v>249</v>
      </c>
      <c r="L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 x14ac:dyDescent="0.2">
      <c r="A2">
        <v>1</v>
      </c>
      <c r="B2">
        <v>1</v>
      </c>
      <c r="C2" t="s">
        <v>49</v>
      </c>
      <c r="D2" t="s">
        <v>175</v>
      </c>
      <c r="E2" t="s">
        <v>210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K2" t="s">
        <v>195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176</v>
      </c>
      <c r="E3" t="s">
        <v>210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K3" t="s">
        <v>290</v>
      </c>
      <c r="Q3">
        <v>1</v>
      </c>
    </row>
    <row r="4" spans="1:23" x14ac:dyDescent="0.2">
      <c r="A4">
        <v>3</v>
      </c>
      <c r="B4">
        <v>1</v>
      </c>
      <c r="C4" t="s">
        <v>65</v>
      </c>
      <c r="D4" t="s">
        <v>177</v>
      </c>
      <c r="E4" t="s">
        <v>210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K4" t="str">
        <f t="array" ref="K4">INDEX(use_fish!A:A,SMALL(IF(group!$K$2&amp;IF(ISBLANK($K$3),$K$3,"+"&amp;$K$3)=use_fish!G:G,ROW(use_fish!G:G),4^8),ROW(1:1)))&amp;""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65</v>
      </c>
      <c r="D5" t="s">
        <v>189</v>
      </c>
      <c r="E5" t="s">
        <v>210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K5" t="str">
        <f t="array" ref="K5">INDEX(use_fish!A:A,SMALL(IF(group!$K$2&amp;IF(ISBLANK($K$3),$K$3,"+"&amp;$K$3)=use_fish!G:G,ROW(use_fish!G:G),4^8),ROW(2:2)))&amp;""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210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66</v>
      </c>
      <c r="D7" t="s">
        <v>178</v>
      </c>
      <c r="E7" t="s">
        <v>210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179</v>
      </c>
      <c r="E8" t="s">
        <v>210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176</v>
      </c>
      <c r="E9" t="s">
        <v>210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65</v>
      </c>
      <c r="D10" t="s">
        <v>180</v>
      </c>
      <c r="E10" t="s">
        <v>210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65</v>
      </c>
      <c r="D11" t="s">
        <v>181</v>
      </c>
      <c r="E11" t="s">
        <v>210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177</v>
      </c>
      <c r="E12" t="s">
        <v>210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67</v>
      </c>
      <c r="D13" t="s">
        <v>65</v>
      </c>
      <c r="E13" t="s">
        <v>210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176</v>
      </c>
      <c r="D14" t="s">
        <v>65</v>
      </c>
      <c r="E14" t="s">
        <v>210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65</v>
      </c>
      <c r="E15" t="s">
        <v>210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68</v>
      </c>
      <c r="D16" t="s">
        <v>65</v>
      </c>
      <c r="E16" t="s">
        <v>210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69</v>
      </c>
      <c r="D17" t="s">
        <v>65</v>
      </c>
      <c r="E17" t="s">
        <v>210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70</v>
      </c>
      <c r="D18" t="s">
        <v>65</v>
      </c>
      <c r="E18" t="s">
        <v>210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67</v>
      </c>
      <c r="E19" t="s">
        <v>210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190</v>
      </c>
      <c r="E20" t="s">
        <v>210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210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68</v>
      </c>
      <c r="E22" t="s">
        <v>210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69</v>
      </c>
      <c r="E23" t="s">
        <v>210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70</v>
      </c>
      <c r="E24" t="s">
        <v>210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203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79</v>
      </c>
      <c r="E34" t="s">
        <v>210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80</v>
      </c>
      <c r="E35" t="s">
        <v>210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81</v>
      </c>
      <c r="E36" t="s">
        <v>210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82</v>
      </c>
      <c r="E37" t="s">
        <v>210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83</v>
      </c>
      <c r="E38" t="s">
        <v>210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84</v>
      </c>
      <c r="E39" t="s">
        <v>210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85</v>
      </c>
      <c r="E40" t="s">
        <v>210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86</v>
      </c>
      <c r="E41" t="s">
        <v>210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87</v>
      </c>
      <c r="E42" t="s">
        <v>210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88</v>
      </c>
      <c r="E43" t="s">
        <v>210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89</v>
      </c>
      <c r="E44" t="s">
        <v>210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90</v>
      </c>
      <c r="E45" t="s">
        <v>210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204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205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206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207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208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209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215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216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217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218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219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220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230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233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234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235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236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237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238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269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250</v>
      </c>
      <c r="Q146">
        <v>118</v>
      </c>
    </row>
    <row r="147" spans="1:17" x14ac:dyDescent="0.2">
      <c r="A147">
        <v>146</v>
      </c>
      <c r="B147">
        <v>1</v>
      </c>
      <c r="C147" t="s">
        <v>270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49</v>
      </c>
      <c r="Q147">
        <v>119</v>
      </c>
    </row>
    <row r="148" spans="1:17" x14ac:dyDescent="0.2">
      <c r="A148">
        <v>147</v>
      </c>
      <c r="B148">
        <v>1</v>
      </c>
      <c r="C148" t="s">
        <v>271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49</v>
      </c>
      <c r="Q148">
        <v>120</v>
      </c>
    </row>
    <row r="149" spans="1:17" x14ac:dyDescent="0.2">
      <c r="A149">
        <v>148</v>
      </c>
      <c r="B149">
        <v>1</v>
      </c>
      <c r="C149" t="s">
        <v>276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</sheetData>
  <autoFilter ref="I1:I129"/>
  <dataConsolidate/>
  <phoneticPr fontId="1" type="noConversion"/>
  <conditionalFormatting sqref="I1:I104857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K146:K148 J2:J104857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23"/>
  <sheetViews>
    <sheetView tabSelected="1" workbookViewId="0">
      <pane ySplit="1" topLeftCell="A104" activePane="bottomLeft" state="frozen"/>
      <selection pane="bottomLeft" activeCell="A124" sqref="A124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</cols>
  <sheetData>
    <row r="1" spans="1:12" ht="67.5" x14ac:dyDescent="0.2">
      <c r="A1" s="1" t="s">
        <v>26</v>
      </c>
      <c r="B1" s="1" t="s">
        <v>27</v>
      </c>
      <c r="C1" s="1" t="s">
        <v>21</v>
      </c>
      <c r="D1" s="1" t="s">
        <v>279</v>
      </c>
      <c r="E1" s="1" t="s">
        <v>0</v>
      </c>
      <c r="F1" s="1" t="s">
        <v>29</v>
      </c>
      <c r="G1" s="1" t="s">
        <v>23</v>
      </c>
      <c r="H1" s="9" t="s">
        <v>285</v>
      </c>
      <c r="I1" s="9" t="s">
        <v>280</v>
      </c>
      <c r="J1" s="9" t="s">
        <v>288</v>
      </c>
      <c r="K1" s="9" t="s">
        <v>319</v>
      </c>
      <c r="L1" s="9" t="s">
        <v>320</v>
      </c>
    </row>
    <row r="2" spans="1:12" x14ac:dyDescent="0.2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INDEX(base_fish!E:E,MATCH(use_fish!B2,base_fish!A:A,0))&amp;_xlfn.IFNA("+"&amp;INDEX(activity!F:F,MATCH(use_fish!C2,activity!A:A,0)),"")</f>
        <v>小黄鱼</v>
      </c>
      <c r="H2" s="2">
        <f>LOOKUP(use_fish!B2,base_fish!A:A,base_fish!F:F)+_xlfn.IFNA(INDEX(activity!E:E,MATCH(use_fish!C2,activity!A:A,0)),0)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</row>
    <row r="3" spans="1:12" x14ac:dyDescent="0.2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INDEX(base_fish!E:E,MATCH(use_fish!B3,base_fish!A:A,0))&amp;_xlfn.IFNA("+"&amp;INDEX(activity!F:F,MATCH(use_fish!C3,activity!A:A,0)),"")</f>
        <v>小蓝鱼</v>
      </c>
      <c r="H3" s="2">
        <f>LOOKUP(use_fish!B3,base_fish!A:A,base_fish!F:F)+_xlfn.IFNA(INDEX(activity!E:E,MATCH(use_fish!C3,activity!A:A,0)),0)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</row>
    <row r="4" spans="1:12" x14ac:dyDescent="0.2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19" si="1">1/D4</f>
        <v>0.2</v>
      </c>
      <c r="F4" s="2" t="s">
        <v>28</v>
      </c>
      <c r="G4" s="5" t="str">
        <f>INDEX(base_fish!E:E,MATCH(use_fish!B4,base_fish!A:A,0))&amp;_xlfn.IFNA("+"&amp;INDEX(activity!F:F,MATCH(use_fish!C4,activity!A:A,0)),"")</f>
        <v>彩纹鱼</v>
      </c>
      <c r="H4" s="2">
        <f>LOOKUP(use_fish!B4,base_fish!A:A,base_fish!F:F)+_xlfn.IFNA(INDEX(activity!E:E,MATCH(use_fish!C4,activity!A:A,0)),0)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</row>
    <row r="5" spans="1:12" x14ac:dyDescent="0.2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1"/>
        <v>0.125</v>
      </c>
      <c r="F5" s="2" t="s">
        <v>28</v>
      </c>
      <c r="G5" s="5" t="str">
        <f>INDEX(base_fish!E:E,MATCH(use_fish!B5,base_fish!A:A,0))&amp;_xlfn.IFNA("+"&amp;INDEX(activity!F:F,MATCH(use_fish!C5,activity!A:A,0)),"")</f>
        <v>蓝河豚</v>
      </c>
      <c r="H5" s="2">
        <f>LOOKUP(use_fish!B5,base_fish!A:A,base_fish!F:F)+_xlfn.IFNA(INDEX(activity!E:E,MATCH(use_fish!C5,activity!A:A,0)),0)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</row>
    <row r="6" spans="1:12" x14ac:dyDescent="0.2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1"/>
        <v>6.6666666666666666E-2</v>
      </c>
      <c r="F6" s="2" t="s">
        <v>28</v>
      </c>
      <c r="G6" s="5" t="str">
        <f>INDEX(base_fish!E:E,MATCH(use_fish!B6,base_fish!A:A,0))&amp;_xlfn.IFNA("+"&amp;INDEX(activity!F:F,MATCH(use_fish!C6,activity!A:A,0)),"")</f>
        <v>小丑鱼</v>
      </c>
      <c r="H6" s="2">
        <f>LOOKUP(use_fish!B6,base_fish!A:A,base_fish!F:F)+_xlfn.IFNA(INDEX(activity!E:E,MATCH(use_fish!C6,activity!A:A,0)),0)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</row>
    <row r="7" spans="1:12" x14ac:dyDescent="0.2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1"/>
        <v>0.05</v>
      </c>
      <c r="F7" s="2" t="s">
        <v>28</v>
      </c>
      <c r="G7" s="5" t="str">
        <f>INDEX(base_fish!E:E,MATCH(use_fish!B7,base_fish!A:A,0))&amp;_xlfn.IFNA("+"&amp;INDEX(activity!F:F,MATCH(use_fish!C7,activity!A:A,0)),"")</f>
        <v>蓝灯鱼</v>
      </c>
      <c r="H7" s="2">
        <f>LOOKUP(use_fish!B7,base_fish!A:A,base_fish!F:F)+_xlfn.IFNA(INDEX(activity!E:E,MATCH(use_fish!C7,activity!A:A,0)),0)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</row>
    <row r="8" spans="1:12" x14ac:dyDescent="0.2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1"/>
        <v>3.3333333333333333E-2</v>
      </c>
      <c r="F8" s="2" t="s">
        <v>28</v>
      </c>
      <c r="G8" s="5" t="str">
        <f>INDEX(base_fish!E:E,MATCH(use_fish!B8,base_fish!A:A,0))&amp;_xlfn.IFNA("+"&amp;INDEX(activity!F:F,MATCH(use_fish!C8,activity!A:A,0)),"")</f>
        <v>红杉鱼</v>
      </c>
      <c r="H8" s="2">
        <f>LOOKUP(use_fish!B8,base_fish!A:A,base_fish!F:F)+_xlfn.IFNA(INDEX(activity!E:E,MATCH(use_fish!C8,activity!A:A,0)),0)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</row>
    <row r="9" spans="1:12" x14ac:dyDescent="0.2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1"/>
        <v>2.5000000000000001E-2</v>
      </c>
      <c r="F9" s="2" t="s">
        <v>28</v>
      </c>
      <c r="G9" s="5" t="str">
        <f>INDEX(base_fish!E:E,MATCH(use_fish!B9,base_fish!A:A,0))&amp;_xlfn.IFNA("+"&amp;INDEX(activity!F:F,MATCH(use_fish!C9,activity!A:A,0)),"")</f>
        <v>海龟</v>
      </c>
      <c r="H9" s="2">
        <f>LOOKUP(use_fish!B9,base_fish!A:A,base_fish!F:F)+_xlfn.IFNA(INDEX(activity!E:E,MATCH(use_fish!C9,activity!A:A,0)),0)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</row>
    <row r="10" spans="1:12" x14ac:dyDescent="0.2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1"/>
        <v>0.02</v>
      </c>
      <c r="F10" s="2" t="s">
        <v>28</v>
      </c>
      <c r="G10" s="5" t="str">
        <f>INDEX(base_fish!E:E,MATCH(use_fish!B10,base_fish!A:A,0))&amp;_xlfn.IFNA("+"&amp;INDEX(activity!F:F,MATCH(use_fish!C10,activity!A:A,0)),"")</f>
        <v>灯笼鱼</v>
      </c>
      <c r="H10" s="2">
        <f>LOOKUP(use_fish!B10,base_fish!A:A,base_fish!F:F)+_xlfn.IFNA(INDEX(activity!E:E,MATCH(use_fish!C10,activity!A:A,0)),0)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</row>
    <row r="11" spans="1:12" x14ac:dyDescent="0.2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1"/>
        <v>1.6666666666666666E-2</v>
      </c>
      <c r="F11" s="2" t="s">
        <v>28</v>
      </c>
      <c r="G11" s="5" t="str">
        <f>INDEX(base_fish!E:E,MATCH(use_fish!B11,base_fish!A:A,0))&amp;_xlfn.IFNA("+"&amp;INDEX(activity!F:F,MATCH(use_fish!C11,activity!A:A,0)),"")</f>
        <v>魔鬼鱼</v>
      </c>
      <c r="H11" s="2">
        <f>LOOKUP(use_fish!B11,base_fish!A:A,base_fish!F:F)+_xlfn.IFNA(INDEX(activity!E:E,MATCH(use_fish!C11,activity!A:A,0)),0)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</row>
    <row r="12" spans="1:12" x14ac:dyDescent="0.2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1"/>
        <v>1.4285714285714285E-2</v>
      </c>
      <c r="F12" s="2" t="s">
        <v>28</v>
      </c>
      <c r="G12" s="5" t="str">
        <f>INDEX(base_fish!E:E,MATCH(use_fish!B12,base_fish!A:A,0))&amp;_xlfn.IFNA("+"&amp;INDEX(activity!F:F,MATCH(use_fish!C12,activity!A:A,0)),"")</f>
        <v>大白鲨</v>
      </c>
      <c r="H12" s="2">
        <f>LOOKUP(use_fish!B12,base_fish!A:A,base_fish!F:F)+_xlfn.IFNA(INDEX(activity!E:E,MATCH(use_fish!C12,activity!A:A,0)),0)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</row>
    <row r="13" spans="1:12" x14ac:dyDescent="0.2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1"/>
        <v>0.01</v>
      </c>
      <c r="F13" s="2" t="s">
        <v>28</v>
      </c>
      <c r="G13" s="5" t="str">
        <f>INDEX(base_fish!E:E,MATCH(use_fish!B13,base_fish!A:A,0))&amp;_xlfn.IFNA("+"&amp;INDEX(activity!F:F,MATCH(use_fish!C13,activity!A:A,0)),"")</f>
        <v>锤头鲨</v>
      </c>
      <c r="H13" s="2">
        <f>LOOKUP(use_fish!B13,base_fish!A:A,base_fish!F:F)+_xlfn.IFNA(INDEX(activity!E:E,MATCH(use_fish!C13,activity!A:A,0)),0)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</row>
    <row r="14" spans="1:12" x14ac:dyDescent="0.2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1"/>
        <v>6.6666666666666671E-3</v>
      </c>
      <c r="F14" s="2" t="s">
        <v>28</v>
      </c>
      <c r="G14" s="5" t="str">
        <f>INDEX(base_fish!E:E,MATCH(use_fish!B14,base_fish!A:A,0))&amp;_xlfn.IFNA("+"&amp;INDEX(activity!F:F,MATCH(use_fish!C14,activity!A:A,0)),"")</f>
        <v>虎鲸</v>
      </c>
      <c r="H14" s="2">
        <f>LOOKUP(use_fish!B14,base_fish!A:A,base_fish!F:F)+_xlfn.IFNA(INDEX(activity!E:E,MATCH(use_fish!C14,activity!A:A,0)),0)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</row>
    <row r="15" spans="1:12" x14ac:dyDescent="0.2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1"/>
        <v>1.2500000000000001E-2</v>
      </c>
      <c r="F15" s="2" t="s">
        <v>28</v>
      </c>
      <c r="G15" s="5" t="str">
        <f>INDEX(base_fish!E:E,MATCH(use_fish!B15,base_fish!A:A,0))&amp;_xlfn.IFNA("+"&amp;INDEX(activity!F:F,MATCH(use_fish!C15,activity!A:A,0)),"")</f>
        <v>黄金海龟</v>
      </c>
      <c r="H15" s="2">
        <f>LOOKUP(use_fish!B15,base_fish!A:A,base_fish!F:F)+_xlfn.IFNA(INDEX(activity!E:E,MATCH(use_fish!C15,activity!A:A,0)),0)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</row>
    <row r="16" spans="1:12" x14ac:dyDescent="0.2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1"/>
        <v>0.01</v>
      </c>
      <c r="F16" s="2" t="s">
        <v>28</v>
      </c>
      <c r="G16" s="5" t="str">
        <f>INDEX(base_fish!E:E,MATCH(use_fish!B16,base_fish!A:A,0))&amp;_xlfn.IFNA("+"&amp;INDEX(activity!F:F,MATCH(use_fish!C16,activity!A:A,0)),"")</f>
        <v>黄金灯笼鱼</v>
      </c>
      <c r="H16" s="2">
        <f>LOOKUP(use_fish!B16,base_fish!A:A,base_fish!F:F)+_xlfn.IFNA(INDEX(activity!E:E,MATCH(use_fish!C16,activity!A:A,0)),0)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</row>
    <row r="17" spans="1:12" x14ac:dyDescent="0.2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1"/>
        <v>8.3333333333333332E-3</v>
      </c>
      <c r="F17" s="2" t="s">
        <v>28</v>
      </c>
      <c r="G17" s="5" t="str">
        <f>INDEX(base_fish!E:E,MATCH(use_fish!B17,base_fish!A:A,0))&amp;_xlfn.IFNA("+"&amp;INDEX(activity!F:F,MATCH(use_fish!C17,activity!A:A,0)),"")</f>
        <v>黄金魔鬼鱼</v>
      </c>
      <c r="H17" s="2">
        <f>LOOKUP(use_fish!B17,base_fish!A:A,base_fish!F:F)+_xlfn.IFNA(INDEX(activity!E:E,MATCH(use_fish!C17,activity!A:A,0)),0)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</row>
    <row r="18" spans="1:12" x14ac:dyDescent="0.2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1"/>
        <v>7.1428571428571426E-3</v>
      </c>
      <c r="F18" s="2" t="s">
        <v>28</v>
      </c>
      <c r="G18" s="5" t="str">
        <f>INDEX(base_fish!E:E,MATCH(use_fish!B18,base_fish!A:A,0))&amp;_xlfn.IFNA("+"&amp;INDEX(activity!F:F,MATCH(use_fish!C18,activity!A:A,0)),"")</f>
        <v>黄金大白鲨</v>
      </c>
      <c r="H18" s="2">
        <f>LOOKUP(use_fish!B18,base_fish!A:A,base_fish!F:F)+_xlfn.IFNA(INDEX(activity!E:E,MATCH(use_fish!C18,activity!A:A,0)),0)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</row>
    <row r="19" spans="1:12" x14ac:dyDescent="0.2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1"/>
        <v>5.0000000000000001E-3</v>
      </c>
      <c r="F19" s="2" t="s">
        <v>28</v>
      </c>
      <c r="G19" s="5" t="str">
        <f>INDEX(base_fish!E:E,MATCH(use_fish!B19,base_fish!A:A,0))&amp;_xlfn.IFNA("+"&amp;INDEX(activity!F:F,MATCH(use_fish!C19,activity!A:A,0)),"")</f>
        <v>黄金锤头鲨</v>
      </c>
      <c r="H19" s="2">
        <f>LOOKUP(use_fish!B19,base_fish!A:A,base_fish!F:F)+_xlfn.IFNA(INDEX(activity!E:E,MATCH(use_fish!C19,activity!A:A,0)),0)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</row>
    <row r="20" spans="1:12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ref="E20:E36" si="2">1/D20</f>
        <v>1.2048192771084338E-2</v>
      </c>
      <c r="F20" s="2" t="s">
        <v>28</v>
      </c>
      <c r="G20" s="5" t="str">
        <f>INDEX(base_fish!E:E,MATCH(use_fish!B20,base_fish!A:A,0))&amp;_xlfn.IFNA("+"&amp;INDEX(activity!F:F,MATCH(use_fish!C20,activity!A:A,0)),"")</f>
        <v>蓝灯鱼+威力提升</v>
      </c>
      <c r="H20" s="2">
        <f>LOOKUP(use_fish!B20,base_fish!A:A,base_fish!F:F)+_xlfn.IFNA(INDEX(activity!E:E,MATCH(use_fish!C20,activity!A:A,0)),0)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</row>
    <row r="21" spans="1:12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2"/>
        <v>1.2048192771084338E-2</v>
      </c>
      <c r="F21" s="2" t="s">
        <v>28</v>
      </c>
      <c r="G21" s="5" t="str">
        <f>INDEX(base_fish!E:E,MATCH(use_fish!B21,base_fish!A:A,0))&amp;_xlfn.IFNA("+"&amp;INDEX(activity!F:F,MATCH(use_fish!C21,activity!A:A,0)),"")</f>
        <v>蓝灯鱼+暴击时刻</v>
      </c>
      <c r="H21" s="2">
        <f>LOOKUP(use_fish!B21,base_fish!A:A,base_fish!F:F)+_xlfn.IFNA(INDEX(activity!E:E,MATCH(use_fish!C21,activity!A:A,0)),0)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</row>
    <row r="22" spans="1:12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2"/>
        <v>1.4285714285714285E-2</v>
      </c>
      <c r="F22" s="2" t="s">
        <v>28</v>
      </c>
      <c r="G22" s="5" t="str">
        <f>INDEX(base_fish!E:E,MATCH(use_fish!B22,base_fish!A:A,0))&amp;_xlfn.IFNA("+"&amp;INDEX(activity!F:F,MATCH(use_fish!C22,activity!A:A,0)),"")</f>
        <v>蓝灯鱼+闪电</v>
      </c>
      <c r="H22" s="2">
        <f>LOOKUP(use_fish!B22,base_fish!A:A,base_fish!F:F)+_xlfn.IFNA(INDEX(activity!E:E,MATCH(use_fish!C22,activity!A:A,0)),0)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</row>
    <row r="23" spans="1:12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2"/>
        <v>1.4285714285714285E-2</v>
      </c>
      <c r="F23" s="2" t="s">
        <v>28</v>
      </c>
      <c r="G23" s="5" t="str">
        <f>INDEX(base_fish!E:E,MATCH(use_fish!B23,base_fish!A:A,0))&amp;_xlfn.IFNA("+"&amp;INDEX(activity!F:F,MATCH(use_fish!C23,activity!A:A,0)),"")</f>
        <v>蓝灯鱼+免费子弹</v>
      </c>
      <c r="H23" s="2">
        <f>LOOKUP(use_fish!B23,base_fish!A:A,base_fish!F:F)+_xlfn.IFNA(INDEX(activity!E:E,MATCH(use_fish!C23,activity!A:A,0)),0)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</row>
    <row r="24" spans="1:12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2"/>
        <v>1.4285714285714285E-2</v>
      </c>
      <c r="F24" s="2" t="s">
        <v>28</v>
      </c>
      <c r="G24" s="5" t="str">
        <f>INDEX(base_fish!E:E,MATCH(use_fish!B24,base_fish!A:A,0))&amp;_xlfn.IFNA("+"&amp;INDEX(activity!F:F,MATCH(use_fish!C24,activity!A:A,0)),"")</f>
        <v>蓝灯鱼+闪电</v>
      </c>
      <c r="H24" s="2">
        <f>LOOKUP(use_fish!B24,base_fish!A:A,base_fish!F:F)+_xlfn.IFNA(INDEX(activity!E:E,MATCH(use_fish!C24,activity!A:A,0)),0)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</row>
    <row r="25" spans="1:12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si="2"/>
        <v>1.0752688172043012E-2</v>
      </c>
      <c r="F25" s="2" t="s">
        <v>28</v>
      </c>
      <c r="G25" s="5" t="str">
        <f>INDEX(base_fish!E:E,MATCH(use_fish!B25,base_fish!A:A,0))&amp;_xlfn.IFNA("+"&amp;INDEX(activity!F:F,MATCH(use_fish!C25,activity!A:A,0)),"")</f>
        <v>红杉鱼+威力提升</v>
      </c>
      <c r="H25" s="2">
        <f>LOOKUP(use_fish!B25,base_fish!A:A,base_fish!F:F)+_xlfn.IFNA(INDEX(activity!E:E,MATCH(use_fish!C25,activity!A:A,0)),0)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</row>
    <row r="26" spans="1:12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2"/>
        <v>1.0752688172043012E-2</v>
      </c>
      <c r="F26" s="2" t="s">
        <v>28</v>
      </c>
      <c r="G26" s="5" t="str">
        <f>INDEX(base_fish!E:E,MATCH(use_fish!B26,base_fish!A:A,0))&amp;_xlfn.IFNA("+"&amp;INDEX(activity!F:F,MATCH(use_fish!C26,activity!A:A,0)),"")</f>
        <v>红杉鱼+暴击时刻</v>
      </c>
      <c r="H26" s="2">
        <f>LOOKUP(use_fish!B26,base_fish!A:A,base_fish!F:F)+_xlfn.IFNA(INDEX(activity!E:E,MATCH(use_fish!C26,activity!A:A,0)),0)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</row>
    <row r="27" spans="1:12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2"/>
        <v>1.2500000000000001E-2</v>
      </c>
      <c r="F27" s="2" t="s">
        <v>28</v>
      </c>
      <c r="G27" s="5" t="str">
        <f>INDEX(base_fish!E:E,MATCH(use_fish!B27,base_fish!A:A,0))&amp;_xlfn.IFNA("+"&amp;INDEX(activity!F:F,MATCH(use_fish!C27,activity!A:A,0)),"")</f>
        <v>红杉鱼+闪电</v>
      </c>
      <c r="H27" s="2">
        <f>LOOKUP(use_fish!B27,base_fish!A:A,base_fish!F:F)+_xlfn.IFNA(INDEX(activity!E:E,MATCH(use_fish!C27,activity!A:A,0)),0)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</row>
    <row r="28" spans="1:12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2"/>
        <v>1.2500000000000001E-2</v>
      </c>
      <c r="F28" s="2" t="s">
        <v>28</v>
      </c>
      <c r="G28" s="5" t="str">
        <f>INDEX(base_fish!E:E,MATCH(use_fish!B28,base_fish!A:A,0))&amp;_xlfn.IFNA("+"&amp;INDEX(activity!F:F,MATCH(use_fish!C28,activity!A:A,0)),"")</f>
        <v>红杉鱼+免费子弹</v>
      </c>
      <c r="H28" s="2">
        <f>LOOKUP(use_fish!B28,base_fish!A:A,base_fish!F:F)+_xlfn.IFNA(INDEX(activity!E:E,MATCH(use_fish!C28,activity!A:A,0)),0)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</row>
    <row r="29" spans="1:12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LOOKUP(use_fish!B29,base_fish!A:A,base_fish!C:C)+_xlfn.IFNA(INDEX(activity!E:E,MATCH(use_fish!C29,activity!A:A,0)),0)</f>
        <v>110</v>
      </c>
      <c r="E29" s="2">
        <f t="shared" si="2"/>
        <v>9.0909090909090905E-3</v>
      </c>
      <c r="F29" s="2" t="s">
        <v>28</v>
      </c>
      <c r="G29" s="5" t="str">
        <f>INDEX(base_fish!E:E,MATCH(use_fish!B29,base_fish!A:A,0))&amp;_xlfn.IFNA("+"&amp;INDEX(activity!F:F,MATCH(use_fish!C29,activity!A:A,0)),"")</f>
        <v>红杉鱼+贝壳</v>
      </c>
      <c r="H29" s="2">
        <f>LOOKUP(use_fish!B29,base_fish!A:A,base_fish!F:F)+_xlfn.IFNA(INDEX(activity!E:E,MATCH(use_fish!C29,activity!A:A,0)),0)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</row>
    <row r="30" spans="1:12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si="2"/>
        <v>9.7087378640776691E-3</v>
      </c>
      <c r="F30" s="2" t="s">
        <v>28</v>
      </c>
      <c r="G30" s="5" t="str">
        <f>INDEX(base_fish!E:E,MATCH(use_fish!B30,base_fish!A:A,0))&amp;_xlfn.IFNA("+"&amp;INDEX(activity!F:F,MATCH(use_fish!C30,activity!A:A,0)),"")</f>
        <v>海龟+威力提升</v>
      </c>
      <c r="H30" s="2">
        <f>LOOKUP(use_fish!B30,base_fish!A:A,base_fish!F:F)+_xlfn.IFNA(INDEX(activity!E:E,MATCH(use_fish!C30,activity!A:A,0)),0)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</row>
    <row r="31" spans="1:12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2"/>
        <v>9.7087378640776691E-3</v>
      </c>
      <c r="F31" s="2" t="s">
        <v>28</v>
      </c>
      <c r="G31" s="5" t="str">
        <f>INDEX(base_fish!E:E,MATCH(use_fish!B31,base_fish!A:A,0))&amp;_xlfn.IFNA("+"&amp;INDEX(activity!F:F,MATCH(use_fish!C31,activity!A:A,0)),"")</f>
        <v>海龟+暴击时刻</v>
      </c>
      <c r="H31" s="2">
        <f>LOOKUP(use_fish!B31,base_fish!A:A,base_fish!F:F)+_xlfn.IFNA(INDEX(activity!E:E,MATCH(use_fish!C31,activity!A:A,0)),0)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</row>
    <row r="32" spans="1:12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2"/>
        <v>1.1111111111111112E-2</v>
      </c>
      <c r="F32" s="2" t="s">
        <v>28</v>
      </c>
      <c r="G32" s="5" t="str">
        <f>INDEX(base_fish!E:E,MATCH(use_fish!B32,base_fish!A:A,0))&amp;_xlfn.IFNA("+"&amp;INDEX(activity!F:F,MATCH(use_fish!C32,activity!A:A,0)),"")</f>
        <v>海龟+闪电</v>
      </c>
      <c r="H32" s="2">
        <f>LOOKUP(use_fish!B32,base_fish!A:A,base_fish!F:F)+_xlfn.IFNA(INDEX(activity!E:E,MATCH(use_fish!C32,activity!A:A,0)),0)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</row>
    <row r="33" spans="1:12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2"/>
        <v>1.1111111111111112E-2</v>
      </c>
      <c r="F33" s="2" t="s">
        <v>28</v>
      </c>
      <c r="G33" s="5" t="str">
        <f>INDEX(base_fish!E:E,MATCH(use_fish!B33,base_fish!A:A,0))&amp;_xlfn.IFNA("+"&amp;INDEX(activity!F:F,MATCH(use_fish!C33,activity!A:A,0)),"")</f>
        <v>海龟+免费子弹</v>
      </c>
      <c r="H33" s="2">
        <f>LOOKUP(use_fish!B33,base_fish!A:A,base_fish!F:F)+_xlfn.IFNA(INDEX(activity!E:E,MATCH(use_fish!C33,activity!A:A,0)),0)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</row>
    <row r="34" spans="1:12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LOOKUP(use_fish!B34,base_fish!A:A,base_fish!C:C)+_xlfn.IFNA(INDEX(activity!E:E,MATCH(use_fish!C34,activity!A:A,0)),0)</f>
        <v>120</v>
      </c>
      <c r="E34" s="2">
        <f t="shared" si="2"/>
        <v>8.3333333333333332E-3</v>
      </c>
      <c r="F34" s="2" t="s">
        <v>28</v>
      </c>
      <c r="G34" s="5" t="str">
        <f>INDEX(base_fish!E:E,MATCH(use_fish!B34,base_fish!A:A,0))&amp;_xlfn.IFNA("+"&amp;INDEX(activity!F:F,MATCH(use_fish!C34,activity!A:A,0)),"")</f>
        <v>海龟+贝壳</v>
      </c>
      <c r="H34" s="2">
        <f>LOOKUP(use_fish!B34,base_fish!A:A,base_fish!F:F)+_xlfn.IFNA(INDEX(activity!E:E,MATCH(use_fish!C34,activity!A:A,0)),0)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</row>
    <row r="35" spans="1:12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si="2"/>
        <v>2.5000000000000001E-2</v>
      </c>
      <c r="F35" s="2" t="s">
        <v>28</v>
      </c>
      <c r="G35" s="5" t="str">
        <f>INDEX(base_fish!E:E,MATCH(use_fish!B35,base_fish!A:A,0))&amp;_xlfn.IFNA("+"&amp;INDEX(activity!F:F,MATCH(use_fish!C35,activity!A:A,0)),"")</f>
        <v>海龟+锁定卡</v>
      </c>
      <c r="H35" s="2">
        <f>LOOKUP(use_fish!B35,base_fish!A:A,base_fish!F:F)+_xlfn.IFNA(INDEX(activity!E:E,MATCH(use_fish!C35,activity!A:A,0)),0)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</row>
    <row r="36" spans="1:12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2"/>
        <v>2.5000000000000001E-2</v>
      </c>
      <c r="F36" s="2" t="s">
        <v>28</v>
      </c>
      <c r="G36" s="5" t="str">
        <f>INDEX(base_fish!E:E,MATCH(use_fish!B36,base_fish!A:A,0))&amp;_xlfn.IFNA("+"&amp;INDEX(activity!F:F,MATCH(use_fish!C36,activity!A:A,0)),"")</f>
        <v>海龟+冰冻卡</v>
      </c>
      <c r="H36" s="2">
        <f>LOOKUP(use_fish!B36,base_fish!A:A,base_fish!F:F)+_xlfn.IFNA(INDEX(activity!E:E,MATCH(use_fish!C36,activity!A:A,0)),0)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</row>
    <row r="37" spans="1:12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ref="E37:E42" si="3">1/D37</f>
        <v>8.8495575221238937E-3</v>
      </c>
      <c r="F37" s="2" t="s">
        <v>28</v>
      </c>
      <c r="G37" s="5" t="str">
        <f>INDEX(base_fish!E:E,MATCH(use_fish!B37,base_fish!A:A,0))&amp;_xlfn.IFNA("+"&amp;INDEX(activity!F:F,MATCH(use_fish!C37,activity!A:A,0)),"")</f>
        <v>灯笼鱼+威力提升</v>
      </c>
      <c r="H37" s="2">
        <f>LOOKUP(use_fish!B37,base_fish!A:A,base_fish!F:F)+_xlfn.IFNA(INDEX(activity!E:E,MATCH(use_fish!C37,activity!A:A,0)),0)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</row>
    <row r="38" spans="1:12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3"/>
        <v>8.8495575221238937E-3</v>
      </c>
      <c r="F38" s="2" t="s">
        <v>28</v>
      </c>
      <c r="G38" s="5" t="str">
        <f>INDEX(base_fish!E:E,MATCH(use_fish!B38,base_fish!A:A,0))&amp;_xlfn.IFNA("+"&amp;INDEX(activity!F:F,MATCH(use_fish!C38,activity!A:A,0)),"")</f>
        <v>灯笼鱼+暴击时刻</v>
      </c>
      <c r="H38" s="2">
        <f>LOOKUP(use_fish!B38,base_fish!A:A,base_fish!F:F)+_xlfn.IFNA(INDEX(activity!E:E,MATCH(use_fish!C38,activity!A:A,0)),0)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</row>
    <row r="39" spans="1:12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3"/>
        <v>0.01</v>
      </c>
      <c r="F39" s="2" t="s">
        <v>28</v>
      </c>
      <c r="G39" s="5" t="str">
        <f>INDEX(base_fish!E:E,MATCH(use_fish!B39,base_fish!A:A,0))&amp;_xlfn.IFNA("+"&amp;INDEX(activity!F:F,MATCH(use_fish!C39,activity!A:A,0)),"")</f>
        <v>灯笼鱼+闪电</v>
      </c>
      <c r="H39" s="2">
        <f>LOOKUP(use_fish!B39,base_fish!A:A,base_fish!F:F)+_xlfn.IFNA(INDEX(activity!E:E,MATCH(use_fish!C39,activity!A:A,0)),0)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</row>
    <row r="40" spans="1:12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3"/>
        <v>0.01</v>
      </c>
      <c r="F40" s="2" t="s">
        <v>28</v>
      </c>
      <c r="G40" s="5" t="str">
        <f>INDEX(base_fish!E:E,MATCH(use_fish!B40,base_fish!A:A,0))&amp;_xlfn.IFNA("+"&amp;INDEX(activity!F:F,MATCH(use_fish!C40,activity!A:A,0)),"")</f>
        <v>灯笼鱼+免费子弹</v>
      </c>
      <c r="H40" s="2">
        <f>LOOKUP(use_fish!B40,base_fish!A:A,base_fish!F:F)+_xlfn.IFNA(INDEX(activity!E:E,MATCH(use_fish!C40,activity!A:A,0)),0)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</row>
    <row r="41" spans="1:12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LOOKUP(use_fish!B41,base_fish!A:A,base_fish!C:C)+_xlfn.IFNA(INDEX(activity!E:E,MATCH(use_fish!C41,activity!A:A,0)),0)</f>
        <v>130</v>
      </c>
      <c r="E41" s="2">
        <f t="shared" si="3"/>
        <v>7.6923076923076927E-3</v>
      </c>
      <c r="F41" s="2" t="s">
        <v>28</v>
      </c>
      <c r="G41" s="5" t="str">
        <f>INDEX(base_fish!E:E,MATCH(use_fish!B41,base_fish!A:A,0))&amp;_xlfn.IFNA("+"&amp;INDEX(activity!F:F,MATCH(use_fish!C41,activity!A:A,0)),"")</f>
        <v>灯笼鱼+贝壳</v>
      </c>
      <c r="H41" s="2">
        <f>LOOKUP(use_fish!B41,base_fish!A:A,base_fish!F:F)+_xlfn.IFNA(INDEX(activity!E:E,MATCH(use_fish!C41,activity!A:A,0)),0)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</row>
    <row r="42" spans="1:12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3"/>
        <v>0.02</v>
      </c>
      <c r="F42" s="2" t="s">
        <v>28</v>
      </c>
      <c r="G42" s="5" t="str">
        <f>INDEX(base_fish!E:E,MATCH(use_fish!B42,base_fish!A:A,0))&amp;_xlfn.IFNA("+"&amp;INDEX(activity!F:F,MATCH(use_fish!C42,activity!A:A,0)),"")</f>
        <v>灯笼鱼+锁定卡</v>
      </c>
      <c r="H42" s="2">
        <f>LOOKUP(use_fish!B42,base_fish!A:A,base_fish!F:F)+_xlfn.IFNA(INDEX(activity!E:E,MATCH(use_fish!C42,activity!A:A,0)),0)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</row>
    <row r="43" spans="1:12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INDEX(base_fish!E:E,MATCH(use_fish!B43,base_fish!A:A,0))&amp;_xlfn.IFNA("+"&amp;INDEX(activity!F:F,MATCH(use_fish!C43,activity!A:A,0)),"")</f>
        <v>灯笼鱼+冰冻卡</v>
      </c>
      <c r="H43" s="2">
        <f>LOOKUP(use_fish!B43,base_fish!A:A,base_fish!F:F)+_xlfn.IFNA(INDEX(activity!E:E,MATCH(use_fish!C43,activity!A:A,0)),0)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</row>
    <row r="44" spans="1:12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INDEX(base_fish!E:E,MATCH(use_fish!B44,base_fish!A:A,0))&amp;_xlfn.IFNA("+"&amp;INDEX(activity!F:F,MATCH(use_fish!C44,activity!A:A,0)),"")</f>
        <v>灯笼鱼+炸弹</v>
      </c>
      <c r="H44" s="2">
        <f>LOOKUP(use_fish!B44,base_fish!A:A,base_fish!F:F)+_xlfn.IFNA(INDEX(activity!E:E,MATCH(use_fish!C44,activity!A:A,0)),0)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</row>
    <row r="45" spans="1:12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INDEX(base_fish!E:E,MATCH(use_fish!B45,base_fish!A:A,0))&amp;_xlfn.IFNA("+"&amp;INDEX(activity!F:F,MATCH(use_fish!C45,activity!A:A,0)),"")</f>
        <v>灯笼鱼+炸弹</v>
      </c>
      <c r="H45" s="2">
        <f>LOOKUP(use_fish!B45,base_fish!A:A,base_fish!F:F)+_xlfn.IFNA(INDEX(activity!E:E,MATCH(use_fish!C45,activity!A:A,0)),0)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</row>
    <row r="46" spans="1:12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4">1/D46</f>
        <v>8.130081300813009E-3</v>
      </c>
      <c r="F46" s="2" t="s">
        <v>28</v>
      </c>
      <c r="G46" s="5" t="str">
        <f>INDEX(base_fish!E:E,MATCH(use_fish!B46,base_fish!A:A,0))&amp;_xlfn.IFNA("+"&amp;INDEX(activity!F:F,MATCH(use_fish!C46,activity!A:A,0)),"")</f>
        <v>魔鬼鱼+威力提升</v>
      </c>
      <c r="H46" s="2">
        <f>LOOKUP(use_fish!B46,base_fish!A:A,base_fish!F:F)+_xlfn.IFNA(INDEX(activity!E:E,MATCH(use_fish!C46,activity!A:A,0)),0)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</row>
    <row r="47" spans="1:12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4"/>
        <v>8.130081300813009E-3</v>
      </c>
      <c r="F47" s="2" t="s">
        <v>28</v>
      </c>
      <c r="G47" s="5" t="str">
        <f>INDEX(base_fish!E:E,MATCH(use_fish!B47,base_fish!A:A,0))&amp;_xlfn.IFNA("+"&amp;INDEX(activity!F:F,MATCH(use_fish!C47,activity!A:A,0)),"")</f>
        <v>魔鬼鱼+暴击时刻</v>
      </c>
      <c r="H47" s="2">
        <f>LOOKUP(use_fish!B47,base_fish!A:A,base_fish!F:F)+_xlfn.IFNA(INDEX(activity!E:E,MATCH(use_fish!C47,activity!A:A,0)),0)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</row>
    <row r="48" spans="1:12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4"/>
        <v>9.0909090909090905E-3</v>
      </c>
      <c r="F48" s="2" t="s">
        <v>28</v>
      </c>
      <c r="G48" s="5" t="str">
        <f>INDEX(base_fish!E:E,MATCH(use_fish!B48,base_fish!A:A,0))&amp;_xlfn.IFNA("+"&amp;INDEX(activity!F:F,MATCH(use_fish!C48,activity!A:A,0)),"")</f>
        <v>魔鬼鱼+闪电</v>
      </c>
      <c r="H48" s="2">
        <f>LOOKUP(use_fish!B48,base_fish!A:A,base_fish!F:F)+_xlfn.IFNA(INDEX(activity!E:E,MATCH(use_fish!C48,activity!A:A,0)),0)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</row>
    <row r="49" spans="1:12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4"/>
        <v>9.0909090909090905E-3</v>
      </c>
      <c r="F49" s="2" t="s">
        <v>28</v>
      </c>
      <c r="G49" s="5" t="str">
        <f>INDEX(base_fish!E:E,MATCH(use_fish!B49,base_fish!A:A,0))&amp;_xlfn.IFNA("+"&amp;INDEX(activity!F:F,MATCH(use_fish!C49,activity!A:A,0)),"")</f>
        <v>魔鬼鱼+免费子弹</v>
      </c>
      <c r="H49" s="2">
        <f>LOOKUP(use_fish!B49,base_fish!A:A,base_fish!F:F)+_xlfn.IFNA(INDEX(activity!E:E,MATCH(use_fish!C49,activity!A:A,0)),0)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</row>
    <row r="50" spans="1:12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LOOKUP(use_fish!B50,base_fish!A:A,base_fish!C:C)+_xlfn.IFNA(INDEX(activity!E:E,MATCH(use_fish!C50,activity!A:A,0)),0)</f>
        <v>140</v>
      </c>
      <c r="E50" s="2">
        <f t="shared" si="4"/>
        <v>7.1428571428571426E-3</v>
      </c>
      <c r="F50" s="2" t="s">
        <v>28</v>
      </c>
      <c r="G50" s="5" t="str">
        <f>INDEX(base_fish!E:E,MATCH(use_fish!B50,base_fish!A:A,0))&amp;_xlfn.IFNA("+"&amp;INDEX(activity!F:F,MATCH(use_fish!C50,activity!A:A,0)),"")</f>
        <v>魔鬼鱼+贝壳</v>
      </c>
      <c r="H50" s="2">
        <f>LOOKUP(use_fish!B50,base_fish!A:A,base_fish!F:F)+_xlfn.IFNA(INDEX(activity!E:E,MATCH(use_fish!C50,activity!A:A,0)),0)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</row>
    <row r="51" spans="1:12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4"/>
        <v>1.6666666666666666E-2</v>
      </c>
      <c r="F51" s="2" t="s">
        <v>28</v>
      </c>
      <c r="G51" s="5" t="str">
        <f>INDEX(base_fish!E:E,MATCH(use_fish!B51,base_fish!A:A,0))&amp;_xlfn.IFNA("+"&amp;INDEX(activity!F:F,MATCH(use_fish!C51,activity!A:A,0)),"")</f>
        <v>魔鬼鱼+锁定卡</v>
      </c>
      <c r="H51" s="2">
        <f>LOOKUP(use_fish!B51,base_fish!A:A,base_fish!F:F)+_xlfn.IFNA(INDEX(activity!E:E,MATCH(use_fish!C51,activity!A:A,0)),0)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</row>
    <row r="52" spans="1:12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INDEX(base_fish!E:E,MATCH(use_fish!B52,base_fish!A:A,0))&amp;_xlfn.IFNA("+"&amp;INDEX(activity!F:F,MATCH(use_fish!C52,activity!A:A,0)),"")</f>
        <v>魔鬼鱼+冰冻卡</v>
      </c>
      <c r="H52" s="2">
        <f>LOOKUP(use_fish!B52,base_fish!A:A,base_fish!F:F)+_xlfn.IFNA(INDEX(activity!E:E,MATCH(use_fish!C52,activity!A:A,0)),0)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</row>
    <row r="53" spans="1:12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INDEX(base_fish!E:E,MATCH(use_fish!B53,base_fish!A:A,0))&amp;_xlfn.IFNA("+"&amp;INDEX(activity!F:F,MATCH(use_fish!C53,activity!A:A,0)),"")</f>
        <v>魔鬼鱼+冰冻卡</v>
      </c>
      <c r="H53" s="2">
        <f>LOOKUP(use_fish!B53,base_fish!A:A,base_fish!F:F)+_xlfn.IFNA(INDEX(activity!E:E,MATCH(use_fish!C53,activity!A:A,0)),0)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</row>
    <row r="54" spans="1:12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INDEX(base_fish!E:E,MATCH(use_fish!B54,base_fish!A:A,0))&amp;_xlfn.IFNA("+"&amp;INDEX(activity!F:F,MATCH(use_fish!C54,activity!A:A,0)),"")</f>
        <v>魔鬼鱼+炸弹</v>
      </c>
      <c r="H54" s="2">
        <f>LOOKUP(use_fish!B54,base_fish!A:A,base_fish!F:F)+_xlfn.IFNA(INDEX(activity!E:E,MATCH(use_fish!C54,activity!A:A,0)),0)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</row>
    <row r="55" spans="1:12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INDEX(base_fish!E:E,MATCH(use_fish!B55,base_fish!A:A,0))&amp;_xlfn.IFNA("+"&amp;INDEX(activity!F:F,MATCH(use_fish!C55,activity!A:A,0)),"")</f>
        <v>魔鬼鱼+炸弹</v>
      </c>
      <c r="H55" s="2">
        <f>LOOKUP(use_fish!B55,base_fish!A:A,base_fish!F:F)+_xlfn.IFNA(INDEX(activity!E:E,MATCH(use_fish!C55,activity!A:A,0)),0)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</row>
    <row r="56" spans="1:12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62" si="5">1/D56</f>
        <v>7.5187969924812026E-3</v>
      </c>
      <c r="F56" s="2" t="s">
        <v>28</v>
      </c>
      <c r="G56" s="5" t="str">
        <f>INDEX(base_fish!E:E,MATCH(use_fish!B56,base_fish!A:A,0))&amp;_xlfn.IFNA("+"&amp;INDEX(activity!F:F,MATCH(use_fish!C56,activity!A:A,0)),"")</f>
        <v>大白鲨+威力提升</v>
      </c>
      <c r="H56" s="2">
        <f>LOOKUP(use_fish!B56,base_fish!A:A,base_fish!F:F)+_xlfn.IFNA(INDEX(activity!E:E,MATCH(use_fish!C56,activity!A:A,0)),0)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</row>
    <row r="57" spans="1:12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5"/>
        <v>7.5187969924812026E-3</v>
      </c>
      <c r="F57" s="2" t="s">
        <v>28</v>
      </c>
      <c r="G57" s="5" t="str">
        <f>INDEX(base_fish!E:E,MATCH(use_fish!B57,base_fish!A:A,0))&amp;_xlfn.IFNA("+"&amp;INDEX(activity!F:F,MATCH(use_fish!C57,activity!A:A,0)),"")</f>
        <v>大白鲨+暴击时刻</v>
      </c>
      <c r="H57" s="2">
        <f>LOOKUP(use_fish!B57,base_fish!A:A,base_fish!F:F)+_xlfn.IFNA(INDEX(activity!E:E,MATCH(use_fish!C57,activity!A:A,0)),0)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</row>
    <row r="58" spans="1:12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5"/>
        <v>8.3333333333333332E-3</v>
      </c>
      <c r="F58" s="2" t="s">
        <v>28</v>
      </c>
      <c r="G58" s="5" t="str">
        <f>INDEX(base_fish!E:E,MATCH(use_fish!B58,base_fish!A:A,0))&amp;_xlfn.IFNA("+"&amp;INDEX(activity!F:F,MATCH(use_fish!C58,activity!A:A,0)),"")</f>
        <v>大白鲨+闪电</v>
      </c>
      <c r="H58" s="2">
        <f>LOOKUP(use_fish!B58,base_fish!A:A,base_fish!F:F)+_xlfn.IFNA(INDEX(activity!E:E,MATCH(use_fish!C58,activity!A:A,0)),0)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</row>
    <row r="59" spans="1:12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5"/>
        <v>8.3333333333333332E-3</v>
      </c>
      <c r="F59" s="2" t="s">
        <v>28</v>
      </c>
      <c r="G59" s="5" t="str">
        <f>INDEX(base_fish!E:E,MATCH(use_fish!B59,base_fish!A:A,0))&amp;_xlfn.IFNA("+"&amp;INDEX(activity!F:F,MATCH(use_fish!C59,activity!A:A,0)),"")</f>
        <v>大白鲨+免费子弹</v>
      </c>
      <c r="H59" s="2">
        <f>LOOKUP(use_fish!B59,base_fish!A:A,base_fish!F:F)+_xlfn.IFNA(INDEX(activity!E:E,MATCH(use_fish!C59,activity!A:A,0)),0)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</row>
    <row r="60" spans="1:12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LOOKUP(use_fish!B60,base_fish!A:A,base_fish!C:C)+_xlfn.IFNA(INDEX(activity!E:E,MATCH(use_fish!C60,activity!A:A,0)),0)</f>
        <v>150</v>
      </c>
      <c r="E60" s="2">
        <f t="shared" si="5"/>
        <v>6.6666666666666671E-3</v>
      </c>
      <c r="F60" s="2" t="s">
        <v>28</v>
      </c>
      <c r="G60" s="5" t="str">
        <f>INDEX(base_fish!E:E,MATCH(use_fish!B60,base_fish!A:A,0))&amp;_xlfn.IFNA("+"&amp;INDEX(activity!F:F,MATCH(use_fish!C60,activity!A:A,0)),"")</f>
        <v>大白鲨+贝壳</v>
      </c>
      <c r="H60" s="2">
        <f>LOOKUP(use_fish!B60,base_fish!A:A,base_fish!F:F)+_xlfn.IFNA(INDEX(activity!E:E,MATCH(use_fish!C60,activity!A:A,0)),0)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</row>
    <row r="61" spans="1:12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5"/>
        <v>1.4285714285714285E-2</v>
      </c>
      <c r="F61" s="2" t="s">
        <v>28</v>
      </c>
      <c r="G61" s="5" t="str">
        <f>INDEX(base_fish!E:E,MATCH(use_fish!B61,base_fish!A:A,0))&amp;_xlfn.IFNA("+"&amp;INDEX(activity!F:F,MATCH(use_fish!C61,activity!A:A,0)),"")</f>
        <v>大白鲨+锁定卡</v>
      </c>
      <c r="H61" s="2">
        <f>LOOKUP(use_fish!B61,base_fish!A:A,base_fish!F:F)+_xlfn.IFNA(INDEX(activity!E:E,MATCH(use_fish!C61,activity!A:A,0)),0)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</row>
    <row r="62" spans="1:12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5"/>
        <v>1.4285714285714285E-2</v>
      </c>
      <c r="F62" s="2" t="s">
        <v>28</v>
      </c>
      <c r="G62" s="5" t="str">
        <f>INDEX(base_fish!E:E,MATCH(use_fish!B62,base_fish!A:A,0))&amp;_xlfn.IFNA("+"&amp;INDEX(activity!F:F,MATCH(use_fish!C62,activity!A:A,0)),"")</f>
        <v>大白鲨+锁定卡</v>
      </c>
      <c r="H62" s="2">
        <f>LOOKUP(use_fish!B62,base_fish!A:A,base_fish!F:F)+_xlfn.IFNA(INDEX(activity!E:E,MATCH(use_fish!C62,activity!A:A,0)),0)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</row>
    <row r="63" spans="1:12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ref="E63:E72" si="6">1/D63</f>
        <v>1.4285714285714285E-2</v>
      </c>
      <c r="F63" s="2" t="s">
        <v>28</v>
      </c>
      <c r="G63" s="5" t="str">
        <f>INDEX(base_fish!E:E,MATCH(use_fish!B63,base_fish!A:A,0))&amp;_xlfn.IFNA("+"&amp;INDEX(activity!F:F,MATCH(use_fish!C63,activity!A:A,0)),"")</f>
        <v>大白鲨+冰冻卡</v>
      </c>
      <c r="H63" s="2">
        <f>LOOKUP(use_fish!B63,base_fish!A:A,base_fish!F:F)+_xlfn.IFNA(INDEX(activity!E:E,MATCH(use_fish!C63,activity!A:A,0)),0)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</row>
    <row r="64" spans="1:12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6"/>
        <v>1.4285714285714285E-2</v>
      </c>
      <c r="F64" s="2" t="s">
        <v>28</v>
      </c>
      <c r="G64" s="5" t="str">
        <f>INDEX(base_fish!E:E,MATCH(use_fish!B64,base_fish!A:A,0))&amp;_xlfn.IFNA("+"&amp;INDEX(activity!F:F,MATCH(use_fish!C64,activity!A:A,0)),"")</f>
        <v>大白鲨+冰冻卡</v>
      </c>
      <c r="H64" s="2">
        <f>LOOKUP(use_fish!B64,base_fish!A:A,base_fish!F:F)+_xlfn.IFNA(INDEX(activity!E:E,MATCH(use_fish!C64,activity!A:A,0)),0)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</row>
    <row r="65" spans="1:12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si="6"/>
        <v>6.1349693251533744E-3</v>
      </c>
      <c r="F65" s="2" t="s">
        <v>28</v>
      </c>
      <c r="G65" s="5" t="str">
        <f>INDEX(base_fish!E:E,MATCH(use_fish!B65,base_fish!A:A,0))&amp;_xlfn.IFNA("+"&amp;INDEX(activity!F:F,MATCH(use_fish!C65,activity!A:A,0)),"")</f>
        <v>锤头鲨+威力提升</v>
      </c>
      <c r="H65" s="2">
        <f>LOOKUP(use_fish!B65,base_fish!A:A,base_fish!F:F)+_xlfn.IFNA(INDEX(activity!E:E,MATCH(use_fish!C65,activity!A:A,0)),0)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</row>
    <row r="66" spans="1:12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6"/>
        <v>6.1349693251533744E-3</v>
      </c>
      <c r="F66" s="2" t="s">
        <v>28</v>
      </c>
      <c r="G66" s="5" t="str">
        <f>INDEX(base_fish!E:E,MATCH(use_fish!B66,base_fish!A:A,0))&amp;_xlfn.IFNA("+"&amp;INDEX(activity!F:F,MATCH(use_fish!C66,activity!A:A,0)),"")</f>
        <v>锤头鲨+暴击时刻</v>
      </c>
      <c r="H66" s="2">
        <f>LOOKUP(use_fish!B66,base_fish!A:A,base_fish!F:F)+_xlfn.IFNA(INDEX(activity!E:E,MATCH(use_fish!C66,activity!A:A,0)),0)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</row>
    <row r="67" spans="1:12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6"/>
        <v>6.6666666666666671E-3</v>
      </c>
      <c r="F67" s="2" t="s">
        <v>28</v>
      </c>
      <c r="G67" s="5" t="str">
        <f>INDEX(base_fish!E:E,MATCH(use_fish!B67,base_fish!A:A,0))&amp;_xlfn.IFNA("+"&amp;INDEX(activity!F:F,MATCH(use_fish!C67,activity!A:A,0)),"")</f>
        <v>锤头鲨+闪电</v>
      </c>
      <c r="H67" s="2">
        <f>LOOKUP(use_fish!B67,base_fish!A:A,base_fish!F:F)+_xlfn.IFNA(INDEX(activity!E:E,MATCH(use_fish!C67,activity!A:A,0)),0)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7">H67</f>
        <v>150</v>
      </c>
      <c r="L67">
        <v>1</v>
      </c>
    </row>
    <row r="68" spans="1:12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6"/>
        <v>6.6666666666666671E-3</v>
      </c>
      <c r="F68" s="2" t="s">
        <v>28</v>
      </c>
      <c r="G68" s="5" t="str">
        <f>INDEX(base_fish!E:E,MATCH(use_fish!B68,base_fish!A:A,0))&amp;_xlfn.IFNA("+"&amp;INDEX(activity!F:F,MATCH(use_fish!C68,activity!A:A,0)),"")</f>
        <v>锤头鲨+免费子弹</v>
      </c>
      <c r="H68" s="2">
        <f>LOOKUP(use_fish!B68,base_fish!A:A,base_fish!F:F)+_xlfn.IFNA(INDEX(activity!E:E,MATCH(use_fish!C68,activity!A:A,0)),0)</f>
        <v>150</v>
      </c>
      <c r="I68">
        <v>1</v>
      </c>
      <c r="J68">
        <f>LOOKUP(use_fish!B68,base_fish!A:A,base_fish!G:G)</f>
        <v>0</v>
      </c>
      <c r="K68">
        <f t="shared" si="7"/>
        <v>150</v>
      </c>
      <c r="L68">
        <v>1</v>
      </c>
    </row>
    <row r="69" spans="1:12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LOOKUP(use_fish!B69,base_fish!A:A,base_fish!C:C)+_xlfn.IFNA(INDEX(activity!E:E,MATCH(use_fish!C69,activity!A:A,0)),0)</f>
        <v>180</v>
      </c>
      <c r="E69" s="2">
        <f t="shared" si="6"/>
        <v>5.5555555555555558E-3</v>
      </c>
      <c r="F69" s="2" t="s">
        <v>28</v>
      </c>
      <c r="G69" s="5" t="str">
        <f>INDEX(base_fish!E:E,MATCH(use_fish!B69,base_fish!A:A,0))&amp;_xlfn.IFNA("+"&amp;INDEX(activity!F:F,MATCH(use_fish!C69,activity!A:A,0)),"")</f>
        <v>锤头鲨+贝壳</v>
      </c>
      <c r="H69" s="2">
        <f>LOOKUP(use_fish!B69,base_fish!A:A,base_fish!F:F)+_xlfn.IFNA(INDEX(activity!E:E,MATCH(use_fish!C69,activity!A:A,0)),0)</f>
        <v>180</v>
      </c>
      <c r="I69">
        <v>1</v>
      </c>
      <c r="J69">
        <f>LOOKUP(use_fish!B69,base_fish!A:A,base_fish!G:G)</f>
        <v>0</v>
      </c>
      <c r="K69">
        <f t="shared" si="7"/>
        <v>180</v>
      </c>
      <c r="L69">
        <v>1</v>
      </c>
    </row>
    <row r="70" spans="1:12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6"/>
        <v>0.01</v>
      </c>
      <c r="F70" s="2" t="s">
        <v>28</v>
      </c>
      <c r="G70" s="5" t="str">
        <f>INDEX(base_fish!E:E,MATCH(use_fish!B70,base_fish!A:A,0))&amp;_xlfn.IFNA("+"&amp;INDEX(activity!F:F,MATCH(use_fish!C70,activity!A:A,0)),"")</f>
        <v>锤头鲨+锁定卡</v>
      </c>
      <c r="H70" s="2">
        <f>LOOKUP(use_fish!B70,base_fish!A:A,base_fish!F:F)+_xlfn.IFNA(INDEX(activity!E:E,MATCH(use_fish!C70,activity!A:A,0)),0)</f>
        <v>100</v>
      </c>
      <c r="I70">
        <v>1</v>
      </c>
      <c r="J70">
        <f>LOOKUP(use_fish!B70,base_fish!A:A,base_fish!G:G)</f>
        <v>0</v>
      </c>
      <c r="K70">
        <f t="shared" si="7"/>
        <v>100</v>
      </c>
      <c r="L70">
        <v>1</v>
      </c>
    </row>
    <row r="71" spans="1:12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6"/>
        <v>0.01</v>
      </c>
      <c r="F71" s="2" t="s">
        <v>28</v>
      </c>
      <c r="G71" s="5" t="str">
        <f>INDEX(base_fish!E:E,MATCH(use_fish!B71,base_fish!A:A,0))&amp;_xlfn.IFNA("+"&amp;INDEX(activity!F:F,MATCH(use_fish!C71,activity!A:A,0)),"")</f>
        <v>锤头鲨+冰冻卡</v>
      </c>
      <c r="H71" s="2">
        <f>LOOKUP(use_fish!B71,base_fish!A:A,base_fish!F:F)+_xlfn.IFNA(INDEX(activity!E:E,MATCH(use_fish!C71,activity!A:A,0)),0)</f>
        <v>100</v>
      </c>
      <c r="I71">
        <v>1</v>
      </c>
      <c r="J71">
        <f>LOOKUP(use_fish!B71,base_fish!A:A,base_fish!G:G)</f>
        <v>0</v>
      </c>
      <c r="K71">
        <f t="shared" si="7"/>
        <v>100</v>
      </c>
      <c r="L71">
        <v>1</v>
      </c>
    </row>
    <row r="72" spans="1:12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6"/>
        <v>0.01</v>
      </c>
      <c r="F72" s="2" t="s">
        <v>28</v>
      </c>
      <c r="G72" s="5" t="str">
        <f>INDEX(base_fish!E:E,MATCH(use_fish!B72,base_fish!A:A,0))&amp;_xlfn.IFNA("+"&amp;INDEX(activity!F:F,MATCH(use_fish!C72,activity!A:A,0)),"")</f>
        <v>锤头鲨+冰冻卡</v>
      </c>
      <c r="H72" s="2">
        <f>LOOKUP(use_fish!B72,base_fish!A:A,base_fish!F:F)+_xlfn.IFNA(INDEX(activity!E:E,MATCH(use_fish!C72,activity!A:A,0)),0)</f>
        <v>100</v>
      </c>
      <c r="I72">
        <v>1</v>
      </c>
      <c r="J72">
        <f>LOOKUP(use_fish!B72,base_fish!A:A,base_fish!G:G)</f>
        <v>0</v>
      </c>
      <c r="K72">
        <f t="shared" si="7"/>
        <v>100</v>
      </c>
      <c r="L72">
        <v>1</v>
      </c>
    </row>
    <row r="73" spans="1:12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ref="E73:E79" si="8">1/D73</f>
        <v>6.993006993006993E-3</v>
      </c>
      <c r="F73" s="2" t="s">
        <v>28</v>
      </c>
      <c r="G73" s="5" t="str">
        <f>INDEX(base_fish!E:E,MATCH(use_fish!B73,base_fish!A:A,0))&amp;_xlfn.IFNA("+"&amp;INDEX(activity!F:F,MATCH(use_fish!C73,activity!A:A,0)),"")</f>
        <v>黄金海龟+威力提升</v>
      </c>
      <c r="H73" s="2">
        <f>LOOKUP(use_fish!B73,base_fish!A:A,base_fish!F:F)+_xlfn.IFNA(INDEX(activity!E:E,MATCH(use_fish!C73,activity!A:A,0)),0)</f>
        <v>143</v>
      </c>
      <c r="I73">
        <v>1</v>
      </c>
      <c r="J73">
        <f>LOOKUP(use_fish!B73,base_fish!A:A,base_fish!G:G)</f>
        <v>0</v>
      </c>
      <c r="K73">
        <f t="shared" si="7"/>
        <v>143</v>
      </c>
      <c r="L73">
        <v>1</v>
      </c>
    </row>
    <row r="74" spans="1:12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8"/>
        <v>6.993006993006993E-3</v>
      </c>
      <c r="F74" s="2" t="s">
        <v>28</v>
      </c>
      <c r="G74" s="5" t="str">
        <f>INDEX(base_fish!E:E,MATCH(use_fish!B74,base_fish!A:A,0))&amp;_xlfn.IFNA("+"&amp;INDEX(activity!F:F,MATCH(use_fish!C74,activity!A:A,0)),"")</f>
        <v>黄金海龟+暴击时刻</v>
      </c>
      <c r="H74" s="2">
        <f>LOOKUP(use_fish!B74,base_fish!A:A,base_fish!F:F)+_xlfn.IFNA(INDEX(activity!E:E,MATCH(use_fish!C74,activity!A:A,0)),0)</f>
        <v>143</v>
      </c>
      <c r="I74">
        <v>1</v>
      </c>
      <c r="J74">
        <f>LOOKUP(use_fish!B74,base_fish!A:A,base_fish!G:G)</f>
        <v>0</v>
      </c>
      <c r="K74">
        <f t="shared" si="7"/>
        <v>143</v>
      </c>
      <c r="L74">
        <v>1</v>
      </c>
    </row>
    <row r="75" spans="1:12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8"/>
        <v>7.6923076923076927E-3</v>
      </c>
      <c r="F75" s="2" t="s">
        <v>28</v>
      </c>
      <c r="G75" s="5" t="str">
        <f>INDEX(base_fish!E:E,MATCH(use_fish!B75,base_fish!A:A,0))&amp;_xlfn.IFNA("+"&amp;INDEX(activity!F:F,MATCH(use_fish!C75,activity!A:A,0)),"")</f>
        <v>黄金海龟+闪电</v>
      </c>
      <c r="H75" s="2">
        <f>LOOKUP(use_fish!B75,base_fish!A:A,base_fish!F:F)+_xlfn.IFNA(INDEX(activity!E:E,MATCH(use_fish!C75,activity!A:A,0)),0)</f>
        <v>130</v>
      </c>
      <c r="I75">
        <v>1</v>
      </c>
      <c r="J75">
        <f>LOOKUP(use_fish!B75,base_fish!A:A,base_fish!G:G)</f>
        <v>0</v>
      </c>
      <c r="K75">
        <f t="shared" si="7"/>
        <v>130</v>
      </c>
      <c r="L75">
        <v>1</v>
      </c>
    </row>
    <row r="76" spans="1:12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8"/>
        <v>7.6923076923076927E-3</v>
      </c>
      <c r="F76" s="2" t="s">
        <v>28</v>
      </c>
      <c r="G76" s="5" t="str">
        <f>INDEX(base_fish!E:E,MATCH(use_fish!B76,base_fish!A:A,0))&amp;_xlfn.IFNA("+"&amp;INDEX(activity!F:F,MATCH(use_fish!C76,activity!A:A,0)),"")</f>
        <v>黄金海龟+免费子弹</v>
      </c>
      <c r="H76" s="2">
        <f>LOOKUP(use_fish!B76,base_fish!A:A,base_fish!F:F)+_xlfn.IFNA(INDEX(activity!E:E,MATCH(use_fish!C76,activity!A:A,0)),0)</f>
        <v>130</v>
      </c>
      <c r="I76">
        <v>1</v>
      </c>
      <c r="J76">
        <f>LOOKUP(use_fish!B76,base_fish!A:A,base_fish!G:G)</f>
        <v>0</v>
      </c>
      <c r="K76">
        <f t="shared" si="7"/>
        <v>130</v>
      </c>
      <c r="L76">
        <v>1</v>
      </c>
    </row>
    <row r="77" spans="1:12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LOOKUP(use_fish!B77,base_fish!A:A,base_fish!C:C)+_xlfn.IFNA(INDEX(activity!E:E,MATCH(use_fish!C77,activity!A:A,0)),0)</f>
        <v>160</v>
      </c>
      <c r="E77" s="2">
        <f t="shared" si="8"/>
        <v>6.2500000000000003E-3</v>
      </c>
      <c r="F77" s="2" t="s">
        <v>28</v>
      </c>
      <c r="G77" s="5" t="str">
        <f>INDEX(base_fish!E:E,MATCH(use_fish!B77,base_fish!A:A,0))&amp;_xlfn.IFNA("+"&amp;INDEX(activity!F:F,MATCH(use_fish!C77,activity!A:A,0)),"")</f>
        <v>黄金海龟+贝壳</v>
      </c>
      <c r="H77" s="2">
        <f>LOOKUP(use_fish!B77,base_fish!A:A,base_fish!F:F)+_xlfn.IFNA(INDEX(activity!E:E,MATCH(use_fish!C77,activity!A:A,0)),0)</f>
        <v>160</v>
      </c>
      <c r="I77">
        <v>1</v>
      </c>
      <c r="J77">
        <f>LOOKUP(use_fish!B77,base_fish!A:A,base_fish!G:G)</f>
        <v>0</v>
      </c>
      <c r="K77">
        <f t="shared" si="7"/>
        <v>160</v>
      </c>
      <c r="L77">
        <v>1</v>
      </c>
    </row>
    <row r="78" spans="1:12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8"/>
        <v>1.2500000000000001E-2</v>
      </c>
      <c r="F78" s="2" t="s">
        <v>28</v>
      </c>
      <c r="G78" s="5" t="str">
        <f>INDEX(base_fish!E:E,MATCH(use_fish!B78,base_fish!A:A,0))&amp;_xlfn.IFNA("+"&amp;INDEX(activity!F:F,MATCH(use_fish!C78,activity!A:A,0)),"")</f>
        <v>黄金海龟+锁定卡</v>
      </c>
      <c r="H78" s="2">
        <f>LOOKUP(use_fish!B78,base_fish!A:A,base_fish!F:F)+_xlfn.IFNA(INDEX(activity!E:E,MATCH(use_fish!C78,activity!A:A,0)),0)</f>
        <v>80</v>
      </c>
      <c r="I78">
        <v>1</v>
      </c>
      <c r="J78">
        <f>LOOKUP(use_fish!B78,base_fish!A:A,base_fish!G:G)</f>
        <v>0</v>
      </c>
      <c r="K78">
        <f t="shared" si="7"/>
        <v>80</v>
      </c>
      <c r="L78">
        <v>1</v>
      </c>
    </row>
    <row r="79" spans="1:12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8"/>
        <v>1.2500000000000001E-2</v>
      </c>
      <c r="F79" s="2" t="s">
        <v>28</v>
      </c>
      <c r="G79" s="5" t="str">
        <f>INDEX(base_fish!E:E,MATCH(use_fish!B79,base_fish!A:A,0))&amp;_xlfn.IFNA("+"&amp;INDEX(activity!F:F,MATCH(use_fish!C79,activity!A:A,0)),"")</f>
        <v>黄金海龟+锁定卡</v>
      </c>
      <c r="H79" s="2">
        <f>LOOKUP(use_fish!B79,base_fish!A:A,base_fish!F:F)+_xlfn.IFNA(INDEX(activity!E:E,MATCH(use_fish!C79,activity!A:A,0)),0)</f>
        <v>80</v>
      </c>
      <c r="I79">
        <v>1</v>
      </c>
      <c r="J79">
        <f>LOOKUP(use_fish!B79,base_fish!A:A,base_fish!G:G)</f>
        <v>0</v>
      </c>
      <c r="K79">
        <f t="shared" si="7"/>
        <v>80</v>
      </c>
      <c r="L79">
        <v>1</v>
      </c>
    </row>
    <row r="80" spans="1:12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INDEX(base_fish!E:E,MATCH(use_fish!B80,base_fish!A:A,0))&amp;_xlfn.IFNA("+"&amp;INDEX(activity!F:F,MATCH(use_fish!C80,activity!A:A,0)),"")</f>
        <v>黄金海龟+冰冻卡</v>
      </c>
      <c r="H80" s="2">
        <f>LOOKUP(use_fish!B80,base_fish!A:A,base_fish!F:F)+_xlfn.IFNA(INDEX(activity!E:E,MATCH(use_fish!C80,activity!A:A,0)),0)</f>
        <v>80</v>
      </c>
      <c r="I80">
        <v>1</v>
      </c>
      <c r="J80">
        <f>LOOKUP(use_fish!B80,base_fish!A:A,base_fish!G:G)</f>
        <v>0</v>
      </c>
      <c r="K80">
        <f t="shared" si="7"/>
        <v>80</v>
      </c>
      <c r="L80">
        <v>1</v>
      </c>
    </row>
    <row r="81" spans="1:12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INDEX(base_fish!E:E,MATCH(use_fish!B81,base_fish!A:A,0))&amp;_xlfn.IFNA("+"&amp;INDEX(activity!F:F,MATCH(use_fish!C81,activity!A:A,0)),"")</f>
        <v>黄金海龟+炸弹</v>
      </c>
      <c r="H81" s="2">
        <f>LOOKUP(use_fish!B81,base_fish!A:A,base_fish!F:F)+_xlfn.IFNA(INDEX(activity!E:E,MATCH(use_fish!C81,activity!A:A,0)),0)</f>
        <v>110</v>
      </c>
      <c r="I81">
        <v>1</v>
      </c>
      <c r="J81">
        <f>LOOKUP(use_fish!B81,base_fish!A:A,base_fish!G:G)</f>
        <v>0</v>
      </c>
      <c r="K81">
        <f t="shared" si="7"/>
        <v>110</v>
      </c>
      <c r="L81">
        <v>1</v>
      </c>
    </row>
    <row r="82" spans="1:12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INDEX(base_fish!E:E,MATCH(use_fish!B82,base_fish!A:A,0))&amp;_xlfn.IFNA("+"&amp;INDEX(activity!F:F,MATCH(use_fish!C82,activity!A:A,0)),"")</f>
        <v>黄金海龟+炸弹</v>
      </c>
      <c r="H82" s="2">
        <f>LOOKUP(use_fish!B82,base_fish!A:A,base_fish!F:F)+_xlfn.IFNA(INDEX(activity!E:E,MATCH(use_fish!C82,activity!A:A,0)),0)</f>
        <v>100</v>
      </c>
      <c r="I82">
        <v>1</v>
      </c>
      <c r="J82">
        <f>LOOKUP(use_fish!B82,base_fish!A:A,base_fish!G:G)</f>
        <v>0</v>
      </c>
      <c r="K82">
        <f t="shared" si="7"/>
        <v>100</v>
      </c>
      <c r="L82">
        <v>1</v>
      </c>
    </row>
    <row r="83" spans="1:12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9">1/D83</f>
        <v>6.1349693251533744E-3</v>
      </c>
      <c r="F83" s="2" t="s">
        <v>28</v>
      </c>
      <c r="G83" s="5" t="str">
        <f>INDEX(base_fish!E:E,MATCH(use_fish!B83,base_fish!A:A,0))&amp;_xlfn.IFNA("+"&amp;INDEX(activity!F:F,MATCH(use_fish!C83,activity!A:A,0)),"")</f>
        <v>黄金灯笼鱼+威力提升</v>
      </c>
      <c r="H83" s="2">
        <f>LOOKUP(use_fish!B83,base_fish!A:A,base_fish!F:F)+_xlfn.IFNA(INDEX(activity!E:E,MATCH(use_fish!C83,activity!A:A,0)),0)</f>
        <v>163</v>
      </c>
      <c r="I83">
        <v>1</v>
      </c>
      <c r="J83">
        <f>LOOKUP(use_fish!B83,base_fish!A:A,base_fish!G:G)</f>
        <v>0</v>
      </c>
      <c r="K83">
        <f t="shared" si="7"/>
        <v>163</v>
      </c>
      <c r="L83">
        <v>1</v>
      </c>
    </row>
    <row r="84" spans="1:12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9"/>
        <v>6.1349693251533744E-3</v>
      </c>
      <c r="F84" s="2" t="s">
        <v>28</v>
      </c>
      <c r="G84" s="5" t="str">
        <f>INDEX(base_fish!E:E,MATCH(use_fish!B84,base_fish!A:A,0))&amp;_xlfn.IFNA("+"&amp;INDEX(activity!F:F,MATCH(use_fish!C84,activity!A:A,0)),"")</f>
        <v>黄金灯笼鱼+暴击时刻</v>
      </c>
      <c r="H84" s="2">
        <f>LOOKUP(use_fish!B84,base_fish!A:A,base_fish!F:F)+_xlfn.IFNA(INDEX(activity!E:E,MATCH(use_fish!C84,activity!A:A,0)),0)</f>
        <v>163</v>
      </c>
      <c r="I84">
        <v>1</v>
      </c>
      <c r="J84">
        <f>LOOKUP(use_fish!B84,base_fish!A:A,base_fish!G:G)</f>
        <v>0</v>
      </c>
      <c r="K84">
        <f t="shared" si="7"/>
        <v>163</v>
      </c>
      <c r="L84">
        <v>1</v>
      </c>
    </row>
    <row r="85" spans="1:12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9"/>
        <v>6.6666666666666671E-3</v>
      </c>
      <c r="F85" s="2" t="s">
        <v>28</v>
      </c>
      <c r="G85" s="5" t="str">
        <f>INDEX(base_fish!E:E,MATCH(use_fish!B85,base_fish!A:A,0))&amp;_xlfn.IFNA("+"&amp;INDEX(activity!F:F,MATCH(use_fish!C85,activity!A:A,0)),"")</f>
        <v>黄金灯笼鱼+闪电</v>
      </c>
      <c r="H85" s="2">
        <f>LOOKUP(use_fish!B85,base_fish!A:A,base_fish!F:F)+_xlfn.IFNA(INDEX(activity!E:E,MATCH(use_fish!C85,activity!A:A,0)),0)</f>
        <v>150</v>
      </c>
      <c r="I85">
        <v>1</v>
      </c>
      <c r="J85">
        <f>LOOKUP(use_fish!B85,base_fish!A:A,base_fish!G:G)</f>
        <v>0</v>
      </c>
      <c r="K85">
        <f t="shared" si="7"/>
        <v>150</v>
      </c>
      <c r="L85">
        <v>1</v>
      </c>
    </row>
    <row r="86" spans="1:12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9"/>
        <v>6.6666666666666671E-3</v>
      </c>
      <c r="F86" s="2" t="s">
        <v>28</v>
      </c>
      <c r="G86" s="5" t="str">
        <f>INDEX(base_fish!E:E,MATCH(use_fish!B86,base_fish!A:A,0))&amp;_xlfn.IFNA("+"&amp;INDEX(activity!F:F,MATCH(use_fish!C86,activity!A:A,0)),"")</f>
        <v>黄金灯笼鱼+免费子弹</v>
      </c>
      <c r="H86" s="2">
        <f>LOOKUP(use_fish!B86,base_fish!A:A,base_fish!F:F)+_xlfn.IFNA(INDEX(activity!E:E,MATCH(use_fish!C86,activity!A:A,0)),0)</f>
        <v>150</v>
      </c>
      <c r="I86">
        <v>1</v>
      </c>
      <c r="J86">
        <f>LOOKUP(use_fish!B86,base_fish!A:A,base_fish!G:G)</f>
        <v>0</v>
      </c>
      <c r="K86">
        <f t="shared" si="7"/>
        <v>150</v>
      </c>
      <c r="L86">
        <v>1</v>
      </c>
    </row>
    <row r="87" spans="1:12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LOOKUP(use_fish!B87,base_fish!A:A,base_fish!C:C)+_xlfn.IFNA(INDEX(activity!E:E,MATCH(use_fish!C87,activity!A:A,0)),0)</f>
        <v>180</v>
      </c>
      <c r="E87" s="2">
        <f t="shared" si="9"/>
        <v>5.5555555555555558E-3</v>
      </c>
      <c r="F87" s="2" t="s">
        <v>28</v>
      </c>
      <c r="G87" s="5" t="str">
        <f>INDEX(base_fish!E:E,MATCH(use_fish!B87,base_fish!A:A,0))&amp;_xlfn.IFNA("+"&amp;INDEX(activity!F:F,MATCH(use_fish!C87,activity!A:A,0)),"")</f>
        <v>黄金灯笼鱼+贝壳</v>
      </c>
      <c r="H87" s="2">
        <f>LOOKUP(use_fish!B87,base_fish!A:A,base_fish!F:F)+_xlfn.IFNA(INDEX(activity!E:E,MATCH(use_fish!C87,activity!A:A,0)),0)</f>
        <v>180</v>
      </c>
      <c r="I87">
        <v>1</v>
      </c>
      <c r="J87">
        <f>LOOKUP(use_fish!B87,base_fish!A:A,base_fish!G:G)</f>
        <v>0</v>
      </c>
      <c r="K87">
        <f t="shared" si="7"/>
        <v>180</v>
      </c>
      <c r="L87">
        <v>1</v>
      </c>
    </row>
    <row r="88" spans="1:12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9"/>
        <v>0.01</v>
      </c>
      <c r="F88" s="2" t="s">
        <v>28</v>
      </c>
      <c r="G88" s="5" t="str">
        <f>INDEX(base_fish!E:E,MATCH(use_fish!B88,base_fish!A:A,0))&amp;_xlfn.IFNA("+"&amp;INDEX(activity!F:F,MATCH(use_fish!C88,activity!A:A,0)),"")</f>
        <v>黄金灯笼鱼+锁定卡</v>
      </c>
      <c r="H88" s="2">
        <f>LOOKUP(use_fish!B88,base_fish!A:A,base_fish!F:F)+_xlfn.IFNA(INDEX(activity!E:E,MATCH(use_fish!C88,activity!A:A,0)),0)</f>
        <v>100</v>
      </c>
      <c r="I88">
        <v>1</v>
      </c>
      <c r="J88">
        <f>LOOKUP(use_fish!B88,base_fish!A:A,base_fish!G:G)</f>
        <v>0</v>
      </c>
      <c r="K88">
        <f t="shared" si="7"/>
        <v>100</v>
      </c>
      <c r="L88">
        <v>1</v>
      </c>
    </row>
    <row r="89" spans="1:12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INDEX(base_fish!E:E,MATCH(use_fish!B89,base_fish!A:A,0))&amp;_xlfn.IFNA("+"&amp;INDEX(activity!F:F,MATCH(use_fish!C89,activity!A:A,0)),"")</f>
        <v>黄金灯笼鱼+冰冻卡</v>
      </c>
      <c r="H89" s="2">
        <f>LOOKUP(use_fish!B89,base_fish!A:A,base_fish!F:F)+_xlfn.IFNA(INDEX(activity!E:E,MATCH(use_fish!C89,activity!A:A,0)),0)</f>
        <v>100</v>
      </c>
      <c r="I89">
        <v>1</v>
      </c>
      <c r="J89">
        <f>LOOKUP(use_fish!B89,base_fish!A:A,base_fish!G:G)</f>
        <v>0</v>
      </c>
      <c r="K89">
        <f t="shared" si="7"/>
        <v>100</v>
      </c>
      <c r="L89">
        <v>1</v>
      </c>
    </row>
    <row r="90" spans="1:12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INDEX(base_fish!E:E,MATCH(use_fish!B90,base_fish!A:A,0))&amp;_xlfn.IFNA("+"&amp;INDEX(activity!F:F,MATCH(use_fish!C90,activity!A:A,0)),"")</f>
        <v>黄金灯笼鱼+冰冻卡</v>
      </c>
      <c r="H90" s="2">
        <f>LOOKUP(use_fish!B90,base_fish!A:A,base_fish!F:F)+_xlfn.IFNA(INDEX(activity!E:E,MATCH(use_fish!C90,activity!A:A,0)),0)</f>
        <v>100</v>
      </c>
      <c r="I90">
        <v>1</v>
      </c>
      <c r="J90">
        <f>LOOKUP(use_fish!B90,base_fish!A:A,base_fish!G:G)</f>
        <v>0</v>
      </c>
      <c r="K90">
        <f t="shared" si="7"/>
        <v>100</v>
      </c>
      <c r="L90">
        <v>1</v>
      </c>
    </row>
    <row r="91" spans="1:12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INDEX(base_fish!E:E,MATCH(use_fish!B91,base_fish!A:A,0))&amp;_xlfn.IFNA("+"&amp;INDEX(activity!F:F,MATCH(use_fish!C91,activity!A:A,0)),"")</f>
        <v>黄金灯笼鱼+炸弹</v>
      </c>
      <c r="H91" s="2">
        <f>LOOKUP(use_fish!B91,base_fish!A:A,base_fish!F:F)+_xlfn.IFNA(INDEX(activity!E:E,MATCH(use_fish!C91,activity!A:A,0)),0)</f>
        <v>130</v>
      </c>
      <c r="I91">
        <v>1</v>
      </c>
      <c r="J91">
        <f>LOOKUP(use_fish!B91,base_fish!A:A,base_fish!G:G)</f>
        <v>0</v>
      </c>
      <c r="K91">
        <f t="shared" si="7"/>
        <v>130</v>
      </c>
      <c r="L91">
        <v>1</v>
      </c>
    </row>
    <row r="92" spans="1:12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INDEX(base_fish!E:E,MATCH(use_fish!B92,base_fish!A:A,0))&amp;_xlfn.IFNA("+"&amp;INDEX(activity!F:F,MATCH(use_fish!C92,activity!A:A,0)),"")</f>
        <v>黄金灯笼鱼+炸弹</v>
      </c>
      <c r="H92" s="2">
        <f>LOOKUP(use_fish!B92,base_fish!A:A,base_fish!F:F)+_xlfn.IFNA(INDEX(activity!E:E,MATCH(use_fish!C92,activity!A:A,0)),0)</f>
        <v>120</v>
      </c>
      <c r="I92">
        <v>1</v>
      </c>
      <c r="J92">
        <f>LOOKUP(use_fish!B92,base_fish!A:A,base_fish!G:G)</f>
        <v>0</v>
      </c>
      <c r="K92">
        <f t="shared" si="7"/>
        <v>120</v>
      </c>
      <c r="L92">
        <v>1</v>
      </c>
    </row>
    <row r="93" spans="1:12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10">1/D93</f>
        <v>5.4644808743169399E-3</v>
      </c>
      <c r="F93" s="2" t="s">
        <v>28</v>
      </c>
      <c r="G93" s="5" t="str">
        <f>INDEX(base_fish!E:E,MATCH(use_fish!B93,base_fish!A:A,0))&amp;_xlfn.IFNA("+"&amp;INDEX(activity!F:F,MATCH(use_fish!C93,activity!A:A,0)),"")</f>
        <v>黄金魔鬼鱼+威力提升</v>
      </c>
      <c r="H93" s="2">
        <f>LOOKUP(use_fish!B93,base_fish!A:A,base_fish!F:F)+_xlfn.IFNA(INDEX(activity!E:E,MATCH(use_fish!C93,activity!A:A,0)),0)</f>
        <v>183</v>
      </c>
      <c r="I93">
        <v>1</v>
      </c>
      <c r="J93">
        <f>LOOKUP(use_fish!B93,base_fish!A:A,base_fish!G:G)</f>
        <v>0</v>
      </c>
      <c r="K93">
        <f t="shared" si="7"/>
        <v>183</v>
      </c>
      <c r="L93">
        <v>1</v>
      </c>
    </row>
    <row r="94" spans="1:12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10"/>
        <v>5.4644808743169399E-3</v>
      </c>
      <c r="F94" s="2" t="s">
        <v>28</v>
      </c>
      <c r="G94" s="5" t="str">
        <f>INDEX(base_fish!E:E,MATCH(use_fish!B94,base_fish!A:A,0))&amp;_xlfn.IFNA("+"&amp;INDEX(activity!F:F,MATCH(use_fish!C94,activity!A:A,0)),"")</f>
        <v>黄金魔鬼鱼+暴击时刻</v>
      </c>
      <c r="H94" s="2">
        <f>LOOKUP(use_fish!B94,base_fish!A:A,base_fish!F:F)+_xlfn.IFNA(INDEX(activity!E:E,MATCH(use_fish!C94,activity!A:A,0)),0)</f>
        <v>183</v>
      </c>
      <c r="I94">
        <v>1</v>
      </c>
      <c r="J94">
        <f>LOOKUP(use_fish!B94,base_fish!A:A,base_fish!G:G)</f>
        <v>0</v>
      </c>
      <c r="K94">
        <f t="shared" si="7"/>
        <v>183</v>
      </c>
      <c r="L94">
        <v>1</v>
      </c>
    </row>
    <row r="95" spans="1:12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10"/>
        <v>5.8823529411764705E-3</v>
      </c>
      <c r="F95" s="2" t="s">
        <v>28</v>
      </c>
      <c r="G95" s="5" t="str">
        <f>INDEX(base_fish!E:E,MATCH(use_fish!B95,base_fish!A:A,0))&amp;_xlfn.IFNA("+"&amp;INDEX(activity!F:F,MATCH(use_fish!C95,activity!A:A,0)),"")</f>
        <v>黄金魔鬼鱼+闪电</v>
      </c>
      <c r="H95" s="2">
        <f>LOOKUP(use_fish!B95,base_fish!A:A,base_fish!F:F)+_xlfn.IFNA(INDEX(activity!E:E,MATCH(use_fish!C95,activity!A:A,0)),0)</f>
        <v>170</v>
      </c>
      <c r="I95">
        <v>1</v>
      </c>
      <c r="J95">
        <f>LOOKUP(use_fish!B95,base_fish!A:A,base_fish!G:G)</f>
        <v>0</v>
      </c>
      <c r="K95">
        <f t="shared" si="7"/>
        <v>170</v>
      </c>
      <c r="L95">
        <v>1</v>
      </c>
    </row>
    <row r="96" spans="1:12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10"/>
        <v>5.8823529411764705E-3</v>
      </c>
      <c r="F96" s="2" t="s">
        <v>28</v>
      </c>
      <c r="G96" s="5" t="str">
        <f>INDEX(base_fish!E:E,MATCH(use_fish!B96,base_fish!A:A,0))&amp;_xlfn.IFNA("+"&amp;INDEX(activity!F:F,MATCH(use_fish!C96,activity!A:A,0)),"")</f>
        <v>黄金魔鬼鱼+免费子弹</v>
      </c>
      <c r="H96" s="2">
        <f>LOOKUP(use_fish!B96,base_fish!A:A,base_fish!F:F)+_xlfn.IFNA(INDEX(activity!E:E,MATCH(use_fish!C96,activity!A:A,0)),0)</f>
        <v>170</v>
      </c>
      <c r="I96">
        <v>1</v>
      </c>
      <c r="J96">
        <f>LOOKUP(use_fish!B96,base_fish!A:A,base_fish!G:G)</f>
        <v>0</v>
      </c>
      <c r="K96">
        <f t="shared" si="7"/>
        <v>170</v>
      </c>
      <c r="L96">
        <v>1</v>
      </c>
    </row>
    <row r="97" spans="1:12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10"/>
        <v>5.8823529411764705E-3</v>
      </c>
      <c r="F97" s="2" t="s">
        <v>28</v>
      </c>
      <c r="G97" s="5" t="str">
        <f>INDEX(base_fish!E:E,MATCH(use_fish!B97,base_fish!A:A,0))&amp;_xlfn.IFNA("+"&amp;INDEX(activity!F:F,MATCH(use_fish!C97,activity!A:A,0)),"")</f>
        <v>黄金魔鬼鱼+闪电</v>
      </c>
      <c r="H97" s="2">
        <f>LOOKUP(use_fish!B97,base_fish!A:A,base_fish!F:F)+_xlfn.IFNA(INDEX(activity!E:E,MATCH(use_fish!C97,activity!A:A,0)),0)</f>
        <v>170</v>
      </c>
      <c r="I97">
        <v>1</v>
      </c>
      <c r="J97">
        <f>LOOKUP(use_fish!B97,base_fish!A:A,base_fish!G:G)</f>
        <v>0</v>
      </c>
      <c r="K97">
        <f t="shared" si="7"/>
        <v>170</v>
      </c>
      <c r="L97">
        <v>1</v>
      </c>
    </row>
    <row r="98" spans="1:12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10"/>
        <v>8.3333333333333332E-3</v>
      </c>
      <c r="F98" s="2" t="s">
        <v>28</v>
      </c>
      <c r="G98" s="5" t="str">
        <f>INDEX(base_fish!E:E,MATCH(use_fish!B98,base_fish!A:A,0))&amp;_xlfn.IFNA("+"&amp;INDEX(activity!F:F,MATCH(use_fish!C98,activity!A:A,0)),"")</f>
        <v>黄金魔鬼鱼+锁定卡</v>
      </c>
      <c r="H98" s="2">
        <f>LOOKUP(use_fish!B98,base_fish!A:A,base_fish!F:F)+_xlfn.IFNA(INDEX(activity!E:E,MATCH(use_fish!C98,activity!A:A,0)),0)</f>
        <v>120</v>
      </c>
      <c r="I98">
        <v>1</v>
      </c>
      <c r="J98">
        <f>LOOKUP(use_fish!B98,base_fish!A:A,base_fish!G:G)</f>
        <v>0</v>
      </c>
      <c r="K98">
        <f t="shared" si="7"/>
        <v>120</v>
      </c>
      <c r="L98">
        <v>1</v>
      </c>
    </row>
    <row r="99" spans="1:12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10"/>
        <v>8.3333333333333332E-3</v>
      </c>
      <c r="F99" s="2" t="s">
        <v>28</v>
      </c>
      <c r="G99" s="5" t="str">
        <f>INDEX(base_fish!E:E,MATCH(use_fish!B99,base_fish!A:A,0))&amp;_xlfn.IFNA("+"&amp;INDEX(activity!F:F,MATCH(use_fish!C99,activity!A:A,0)),"")</f>
        <v>黄金魔鬼鱼+锁定卡</v>
      </c>
      <c r="H99" s="2">
        <f>LOOKUP(use_fish!B99,base_fish!A:A,base_fish!F:F)+_xlfn.IFNA(INDEX(activity!E:E,MATCH(use_fish!C99,activity!A:A,0)),0)</f>
        <v>120</v>
      </c>
      <c r="I99">
        <v>1</v>
      </c>
      <c r="J99">
        <f>LOOKUP(use_fish!B99,base_fish!A:A,base_fish!G:G)</f>
        <v>0</v>
      </c>
      <c r="K99">
        <f t="shared" si="7"/>
        <v>120</v>
      </c>
      <c r="L99">
        <v>1</v>
      </c>
    </row>
    <row r="100" spans="1:12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INDEX(base_fish!E:E,MATCH(use_fish!B100,base_fish!A:A,0))&amp;_xlfn.IFNA("+"&amp;INDEX(activity!F:F,MATCH(use_fish!C100,activity!A:A,0)),"")</f>
        <v>黄金魔鬼鱼+冰冻卡</v>
      </c>
      <c r="H100" s="2">
        <f>LOOKUP(use_fish!B100,base_fish!A:A,base_fish!F:F)+_xlfn.IFNA(INDEX(activity!E:E,MATCH(use_fish!C100,activity!A:A,0)),0)</f>
        <v>120</v>
      </c>
      <c r="I100">
        <v>1</v>
      </c>
      <c r="J100">
        <f>LOOKUP(use_fish!B100,base_fish!A:A,base_fish!G:G)</f>
        <v>0</v>
      </c>
      <c r="K100">
        <f t="shared" si="7"/>
        <v>120</v>
      </c>
      <c r="L100">
        <v>1</v>
      </c>
    </row>
    <row r="101" spans="1:12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INDEX(base_fish!E:E,MATCH(use_fish!B101,base_fish!A:A,0))&amp;_xlfn.IFNA("+"&amp;INDEX(activity!F:F,MATCH(use_fish!C101,activity!A:A,0)),"")</f>
        <v>黄金魔鬼鱼+炸弹</v>
      </c>
      <c r="H101" s="2">
        <f>LOOKUP(use_fish!B101,base_fish!A:A,base_fish!F:F)+_xlfn.IFNA(INDEX(activity!E:E,MATCH(use_fish!C101,activity!A:A,0)),0)</f>
        <v>150</v>
      </c>
      <c r="I101">
        <v>1</v>
      </c>
      <c r="J101">
        <f>LOOKUP(use_fish!B101,base_fish!A:A,base_fish!G:G)</f>
        <v>0</v>
      </c>
      <c r="K101">
        <f t="shared" si="7"/>
        <v>150</v>
      </c>
      <c r="L101">
        <v>1</v>
      </c>
    </row>
    <row r="102" spans="1:12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INDEX(base_fish!E:E,MATCH(use_fish!B102,base_fish!A:A,0))&amp;_xlfn.IFNA("+"&amp;INDEX(activity!F:F,MATCH(use_fish!C102,activity!A:A,0)),"")</f>
        <v>黄金魔鬼鱼+炸弹</v>
      </c>
      <c r="H102" s="2">
        <f>LOOKUP(use_fish!B102,base_fish!A:A,base_fish!F:F)+_xlfn.IFNA(INDEX(activity!E:E,MATCH(use_fish!C102,activity!A:A,0)),0)</f>
        <v>140</v>
      </c>
      <c r="I102">
        <v>1</v>
      </c>
      <c r="J102">
        <f>LOOKUP(use_fish!B102,base_fish!A:A,base_fish!G:G)</f>
        <v>0</v>
      </c>
      <c r="K102">
        <f t="shared" si="7"/>
        <v>140</v>
      </c>
      <c r="L102">
        <v>1</v>
      </c>
    </row>
    <row r="103" spans="1:12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LOOKUP(use_fish!B103,base_fish!A:A,base_fish!C:C)+_xlfn.IFNA(INDEX(activity!E:E,MATCH(use_fish!C103,activity!A:A,0)),0)</f>
        <v>6</v>
      </c>
      <c r="E103" s="2">
        <f t="shared" ref="E103:E112" si="11">1/D103</f>
        <v>0.16666666666666666</v>
      </c>
      <c r="F103" s="2" t="s">
        <v>28</v>
      </c>
      <c r="G103" s="5" t="str">
        <f>INDEX(base_fish!E:E,MATCH(use_fish!B103,base_fish!A:A,0))&amp;_xlfn.IFNA("+"&amp;INDEX(activity!F:F,MATCH(use_fish!C103,activity!A:A,0)),"")</f>
        <v>彩纹鱼+临时活动</v>
      </c>
      <c r="H103" s="2">
        <f>LOOKUP(use_fish!B103,base_fish!A:A,base_fish!F:F)+_xlfn.IFNA(INDEX(activity!E:E,MATCH(use_fish!C103,activity!A:A,0)),0)</f>
        <v>6</v>
      </c>
      <c r="I103">
        <v>1</v>
      </c>
      <c r="J103">
        <f>LOOKUP(use_fish!B103,base_fish!A:A,base_fish!G:G)</f>
        <v>0</v>
      </c>
      <c r="K103">
        <f t="shared" si="7"/>
        <v>6</v>
      </c>
      <c r="L103">
        <v>1</v>
      </c>
    </row>
    <row r="104" spans="1:12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LOOKUP(use_fish!B104,base_fish!A:A,base_fish!C:C)+_xlfn.IFNA(INDEX(activity!E:E,MATCH(use_fish!C104,activity!A:A,0)),0)</f>
        <v>9</v>
      </c>
      <c r="E104" s="2">
        <f t="shared" si="11"/>
        <v>0.1111111111111111</v>
      </c>
      <c r="F104" s="2" t="s">
        <v>28</v>
      </c>
      <c r="G104" s="5" t="str">
        <f>INDEX(base_fish!E:E,MATCH(use_fish!B104,base_fish!A:A,0))&amp;_xlfn.IFNA("+"&amp;INDEX(activity!F:F,MATCH(use_fish!C104,activity!A:A,0)),"")</f>
        <v>蓝河豚+临时活动</v>
      </c>
      <c r="H104" s="2">
        <f>LOOKUP(use_fish!B104,base_fish!A:A,base_fish!F:F)+_xlfn.IFNA(INDEX(activity!E:E,MATCH(use_fish!C104,activity!A:A,0)),0)</f>
        <v>9</v>
      </c>
      <c r="I104">
        <v>1</v>
      </c>
      <c r="J104">
        <f>LOOKUP(use_fish!B104,base_fish!A:A,base_fish!G:G)</f>
        <v>0</v>
      </c>
      <c r="K104">
        <f t="shared" si="7"/>
        <v>9</v>
      </c>
      <c r="L104">
        <v>1</v>
      </c>
    </row>
    <row r="105" spans="1:12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LOOKUP(use_fish!B105,base_fish!A:A,base_fish!C:C)+_xlfn.IFNA(INDEX(activity!E:E,MATCH(use_fish!C105,activity!A:A,0)),0)</f>
        <v>16</v>
      </c>
      <c r="E105" s="2">
        <f t="shared" si="11"/>
        <v>6.25E-2</v>
      </c>
      <c r="F105" s="2" t="s">
        <v>28</v>
      </c>
      <c r="G105" s="5" t="str">
        <f>INDEX(base_fish!E:E,MATCH(use_fish!B105,base_fish!A:A,0))&amp;_xlfn.IFNA("+"&amp;INDEX(activity!F:F,MATCH(use_fish!C105,activity!A:A,0)),"")</f>
        <v>小丑鱼+临时活动</v>
      </c>
      <c r="H105" s="2">
        <f>LOOKUP(use_fish!B105,base_fish!A:A,base_fish!F:F)+_xlfn.IFNA(INDEX(activity!E:E,MATCH(use_fish!C105,activity!A:A,0)),0)</f>
        <v>16</v>
      </c>
      <c r="I105">
        <v>1</v>
      </c>
      <c r="J105">
        <f>LOOKUP(use_fish!B105,base_fish!A:A,base_fish!G:G)</f>
        <v>0</v>
      </c>
      <c r="K105">
        <f t="shared" si="7"/>
        <v>16</v>
      </c>
      <c r="L105">
        <v>1</v>
      </c>
    </row>
    <row r="106" spans="1:12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LOOKUP(use_fish!B106,base_fish!A:A,base_fish!C:C)+_xlfn.IFNA(INDEX(activity!E:E,MATCH(use_fish!C106,activity!A:A,0)),0)</f>
        <v>21</v>
      </c>
      <c r="E106" s="2">
        <f t="shared" si="11"/>
        <v>4.7619047619047616E-2</v>
      </c>
      <c r="F106" s="2" t="s">
        <v>28</v>
      </c>
      <c r="G106" s="5" t="str">
        <f>INDEX(base_fish!E:E,MATCH(use_fish!B106,base_fish!A:A,0))&amp;_xlfn.IFNA("+"&amp;INDEX(activity!F:F,MATCH(use_fish!C106,activity!A:A,0)),"")</f>
        <v>蓝灯鱼+临时活动</v>
      </c>
      <c r="H106" s="2">
        <f>LOOKUP(use_fish!B106,base_fish!A:A,base_fish!F:F)+_xlfn.IFNA(INDEX(activity!E:E,MATCH(use_fish!C106,activity!A:A,0)),0)</f>
        <v>21</v>
      </c>
      <c r="I106">
        <v>1</v>
      </c>
      <c r="J106">
        <f>LOOKUP(use_fish!B106,base_fish!A:A,base_fish!G:G)</f>
        <v>0</v>
      </c>
      <c r="K106">
        <f t="shared" si="7"/>
        <v>21</v>
      </c>
      <c r="L106">
        <v>1</v>
      </c>
    </row>
    <row r="107" spans="1:12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LOOKUP(use_fish!B107,base_fish!A:A,base_fish!C:C)+_xlfn.IFNA(INDEX(activity!E:E,MATCH(use_fish!C107,activity!A:A,0)),0)</f>
        <v>31</v>
      </c>
      <c r="E107" s="2">
        <f t="shared" si="11"/>
        <v>3.2258064516129031E-2</v>
      </c>
      <c r="F107" s="2" t="s">
        <v>28</v>
      </c>
      <c r="G107" s="5" t="str">
        <f>INDEX(base_fish!E:E,MATCH(use_fish!B107,base_fish!A:A,0))&amp;_xlfn.IFNA("+"&amp;INDEX(activity!F:F,MATCH(use_fish!C107,activity!A:A,0)),"")</f>
        <v>红杉鱼+临时活动</v>
      </c>
      <c r="H107" s="2">
        <f>LOOKUP(use_fish!B107,base_fish!A:A,base_fish!F:F)+_xlfn.IFNA(INDEX(activity!E:E,MATCH(use_fish!C107,activity!A:A,0)),0)</f>
        <v>31</v>
      </c>
      <c r="I107">
        <v>1</v>
      </c>
      <c r="J107">
        <f>LOOKUP(use_fish!B107,base_fish!A:A,base_fish!G:G)</f>
        <v>0</v>
      </c>
      <c r="K107">
        <f t="shared" si="7"/>
        <v>31</v>
      </c>
      <c r="L107">
        <v>1</v>
      </c>
    </row>
    <row r="108" spans="1:12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LOOKUP(use_fish!B108,base_fish!A:A,base_fish!C:C)+_xlfn.IFNA(INDEX(activity!E:E,MATCH(use_fish!C108,activity!A:A,0)),0)</f>
        <v>41</v>
      </c>
      <c r="E108" s="2">
        <f t="shared" si="11"/>
        <v>2.4390243902439025E-2</v>
      </c>
      <c r="F108" s="2" t="s">
        <v>28</v>
      </c>
      <c r="G108" s="5" t="str">
        <f>INDEX(base_fish!E:E,MATCH(use_fish!B108,base_fish!A:A,0))&amp;_xlfn.IFNA("+"&amp;INDEX(activity!F:F,MATCH(use_fish!C108,activity!A:A,0)),"")</f>
        <v>海龟+临时活动</v>
      </c>
      <c r="H108" s="2">
        <f>LOOKUP(use_fish!B108,base_fish!A:A,base_fish!F:F)+_xlfn.IFNA(INDEX(activity!E:E,MATCH(use_fish!C108,activity!A:A,0)),0)</f>
        <v>41</v>
      </c>
      <c r="I108">
        <v>1</v>
      </c>
      <c r="J108">
        <f>LOOKUP(use_fish!B108,base_fish!A:A,base_fish!G:G)</f>
        <v>0</v>
      </c>
      <c r="K108">
        <f t="shared" si="7"/>
        <v>41</v>
      </c>
      <c r="L108">
        <v>1</v>
      </c>
    </row>
    <row r="109" spans="1:12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LOOKUP(use_fish!B109,base_fish!A:A,base_fish!C:C)+_xlfn.IFNA(INDEX(activity!E:E,MATCH(use_fish!C109,activity!A:A,0)),0)</f>
        <v>51</v>
      </c>
      <c r="E109" s="2">
        <f t="shared" si="11"/>
        <v>1.9607843137254902E-2</v>
      </c>
      <c r="F109" s="2" t="s">
        <v>28</v>
      </c>
      <c r="G109" s="5" t="str">
        <f>INDEX(base_fish!E:E,MATCH(use_fish!B109,base_fish!A:A,0))&amp;_xlfn.IFNA("+"&amp;INDEX(activity!F:F,MATCH(use_fish!C109,activity!A:A,0)),"")</f>
        <v>灯笼鱼+临时活动</v>
      </c>
      <c r="H109" s="2">
        <f>LOOKUP(use_fish!B109,base_fish!A:A,base_fish!F:F)+_xlfn.IFNA(INDEX(activity!E:E,MATCH(use_fish!C109,activity!A:A,0)),0)</f>
        <v>51</v>
      </c>
      <c r="I109">
        <v>1</v>
      </c>
      <c r="J109">
        <f>LOOKUP(use_fish!B109,base_fish!A:A,base_fish!G:G)</f>
        <v>0</v>
      </c>
      <c r="K109">
        <f t="shared" si="7"/>
        <v>51</v>
      </c>
      <c r="L109">
        <v>1</v>
      </c>
    </row>
    <row r="110" spans="1:12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LOOKUP(use_fish!B110,base_fish!A:A,base_fish!C:C)+_xlfn.IFNA(INDEX(activity!E:E,MATCH(use_fish!C110,activity!A:A,0)),0)</f>
        <v>61</v>
      </c>
      <c r="E110" s="2">
        <f t="shared" si="11"/>
        <v>1.6393442622950821E-2</v>
      </c>
      <c r="F110" s="2" t="s">
        <v>28</v>
      </c>
      <c r="G110" s="5" t="str">
        <f>INDEX(base_fish!E:E,MATCH(use_fish!B110,base_fish!A:A,0))&amp;_xlfn.IFNA("+"&amp;INDEX(activity!F:F,MATCH(use_fish!C110,activity!A:A,0)),"")</f>
        <v>魔鬼鱼+临时活动</v>
      </c>
      <c r="H110" s="2">
        <f>LOOKUP(use_fish!B110,base_fish!A:A,base_fish!F:F)+_xlfn.IFNA(INDEX(activity!E:E,MATCH(use_fish!C110,activity!A:A,0)),0)</f>
        <v>61</v>
      </c>
      <c r="I110">
        <v>1</v>
      </c>
      <c r="J110">
        <f>LOOKUP(use_fish!B110,base_fish!A:A,base_fish!G:G)</f>
        <v>0</v>
      </c>
      <c r="K110">
        <f t="shared" si="7"/>
        <v>61</v>
      </c>
      <c r="L110">
        <v>1</v>
      </c>
    </row>
    <row r="111" spans="1:12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LOOKUP(use_fish!B111,base_fish!A:A,base_fish!C:C)+_xlfn.IFNA(INDEX(activity!E:E,MATCH(use_fish!C111,activity!A:A,0)),0)</f>
        <v>6</v>
      </c>
      <c r="E111" s="2">
        <f t="shared" si="11"/>
        <v>0.16666666666666666</v>
      </c>
      <c r="F111" s="2" t="s">
        <v>28</v>
      </c>
      <c r="G111" s="5" t="str">
        <f>INDEX(base_fish!E:E,MATCH(use_fish!B111,base_fish!A:A,0))&amp;_xlfn.IFNA("+"&amp;INDEX(activity!F:F,MATCH(use_fish!C111,activity!A:A,0)),"")</f>
        <v>彩纹鱼+临时活动</v>
      </c>
      <c r="H111" s="2">
        <f>LOOKUP(use_fish!B111,base_fish!A:A,base_fish!F:F)+_xlfn.IFNA(INDEX(activity!E:E,MATCH(use_fish!C111,activity!A:A,0)),0)</f>
        <v>6</v>
      </c>
      <c r="I111">
        <v>1</v>
      </c>
      <c r="J111">
        <f>LOOKUP(use_fish!B111,base_fish!A:A,base_fish!G:G)</f>
        <v>0</v>
      </c>
      <c r="K111">
        <f t="shared" si="7"/>
        <v>6</v>
      </c>
      <c r="L111">
        <v>1</v>
      </c>
    </row>
    <row r="112" spans="1:12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LOOKUP(use_fish!B112,base_fish!A:A,base_fish!C:C)+_xlfn.IFNA(INDEX(activity!E:E,MATCH(use_fish!C112,activity!A:A,0)),0)</f>
        <v>9</v>
      </c>
      <c r="E112" s="2">
        <f t="shared" si="11"/>
        <v>0.1111111111111111</v>
      </c>
      <c r="F112" s="2" t="s">
        <v>28</v>
      </c>
      <c r="G112" s="5" t="str">
        <f>INDEX(base_fish!E:E,MATCH(use_fish!B112,base_fish!A:A,0))&amp;_xlfn.IFNA("+"&amp;INDEX(activity!F:F,MATCH(use_fish!C112,activity!A:A,0)),"")</f>
        <v>蓝河豚+临时活动</v>
      </c>
      <c r="H112" s="2">
        <f>LOOKUP(use_fish!B112,base_fish!A:A,base_fish!F:F)+_xlfn.IFNA(INDEX(activity!E:E,MATCH(use_fish!C112,activity!A:A,0)),0)</f>
        <v>9</v>
      </c>
      <c r="I112">
        <v>1</v>
      </c>
      <c r="J112">
        <f>LOOKUP(use_fish!B112,base_fish!A:A,base_fish!G:G)</f>
        <v>0</v>
      </c>
      <c r="K112">
        <f t="shared" si="7"/>
        <v>9</v>
      </c>
      <c r="L112">
        <v>1</v>
      </c>
    </row>
    <row r="113" spans="1:12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LOOKUP(use_fish!B113,base_fish!A:A,base_fish!C:C)+_xlfn.IFNA(INDEX(activity!E:E,MATCH(use_fish!C113,activity!A:A,0)),0)</f>
        <v>16</v>
      </c>
      <c r="E113" s="2">
        <f t="shared" ref="E113:E118" si="12">1/D113</f>
        <v>6.25E-2</v>
      </c>
      <c r="F113" s="2" t="s">
        <v>28</v>
      </c>
      <c r="G113" s="5" t="str">
        <f>INDEX(base_fish!E:E,MATCH(use_fish!B113,base_fish!A:A,0))&amp;_xlfn.IFNA("+"&amp;INDEX(activity!F:F,MATCH(use_fish!C113,activity!A:A,0)),"")</f>
        <v>小丑鱼+临时活动</v>
      </c>
      <c r="H113" s="2">
        <f>LOOKUP(use_fish!B113,base_fish!A:A,base_fish!F:F)+_xlfn.IFNA(INDEX(activity!E:E,MATCH(use_fish!C113,activity!A:A,0)),0)</f>
        <v>16</v>
      </c>
      <c r="I113">
        <v>1</v>
      </c>
      <c r="J113">
        <f>LOOKUP(use_fish!B113,base_fish!A:A,base_fish!G:G)</f>
        <v>0</v>
      </c>
      <c r="K113">
        <f t="shared" si="7"/>
        <v>16</v>
      </c>
      <c r="L113">
        <v>1</v>
      </c>
    </row>
    <row r="114" spans="1:12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LOOKUP(use_fish!B114,base_fish!A:A,base_fish!C:C)+_xlfn.IFNA(INDEX(activity!E:E,MATCH(use_fish!C114,activity!A:A,0)),0)</f>
        <v>21</v>
      </c>
      <c r="E114" s="2">
        <f t="shared" si="12"/>
        <v>4.7619047619047616E-2</v>
      </c>
      <c r="F114" s="2" t="s">
        <v>28</v>
      </c>
      <c r="G114" s="5" t="str">
        <f>INDEX(base_fish!E:E,MATCH(use_fish!B114,base_fish!A:A,0))&amp;_xlfn.IFNA("+"&amp;INDEX(activity!F:F,MATCH(use_fish!C114,activity!A:A,0)),"")</f>
        <v>蓝灯鱼+临时活动</v>
      </c>
      <c r="H114" s="2">
        <f>LOOKUP(use_fish!B114,base_fish!A:A,base_fish!F:F)+_xlfn.IFNA(INDEX(activity!E:E,MATCH(use_fish!C114,activity!A:A,0)),0)</f>
        <v>21</v>
      </c>
      <c r="I114">
        <v>1</v>
      </c>
      <c r="J114">
        <f>LOOKUP(use_fish!B114,base_fish!A:A,base_fish!G:G)</f>
        <v>0</v>
      </c>
      <c r="K114">
        <f t="shared" si="7"/>
        <v>21</v>
      </c>
      <c r="L114">
        <v>1</v>
      </c>
    </row>
    <row r="115" spans="1:12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LOOKUP(use_fish!B115,base_fish!A:A,base_fish!C:C)+_xlfn.IFNA(INDEX(activity!E:E,MATCH(use_fish!C115,activity!A:A,0)),0)</f>
        <v>31</v>
      </c>
      <c r="E115" s="2">
        <f t="shared" si="12"/>
        <v>3.2258064516129031E-2</v>
      </c>
      <c r="F115" s="2" t="s">
        <v>28</v>
      </c>
      <c r="G115" s="5" t="str">
        <f>INDEX(base_fish!E:E,MATCH(use_fish!B115,base_fish!A:A,0))&amp;_xlfn.IFNA("+"&amp;INDEX(activity!F:F,MATCH(use_fish!C115,activity!A:A,0)),"")</f>
        <v>红杉鱼+临时活动</v>
      </c>
      <c r="H115" s="2">
        <f>LOOKUP(use_fish!B115,base_fish!A:A,base_fish!F:F)+_xlfn.IFNA(INDEX(activity!E:E,MATCH(use_fish!C115,activity!A:A,0)),0)</f>
        <v>31</v>
      </c>
      <c r="I115">
        <v>1</v>
      </c>
      <c r="J115">
        <f>LOOKUP(use_fish!B115,base_fish!A:A,base_fish!G:G)</f>
        <v>0</v>
      </c>
      <c r="K115">
        <f t="shared" si="7"/>
        <v>31</v>
      </c>
      <c r="L115">
        <v>1</v>
      </c>
    </row>
    <row r="116" spans="1:12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LOOKUP(use_fish!B116,base_fish!A:A,base_fish!C:C)+_xlfn.IFNA(INDEX(activity!E:E,MATCH(use_fish!C116,activity!A:A,0)),0)</f>
        <v>41</v>
      </c>
      <c r="E116" s="2">
        <f t="shared" si="12"/>
        <v>2.4390243902439025E-2</v>
      </c>
      <c r="F116" s="2" t="s">
        <v>28</v>
      </c>
      <c r="G116" s="5" t="str">
        <f>INDEX(base_fish!E:E,MATCH(use_fish!B116,base_fish!A:A,0))&amp;_xlfn.IFNA("+"&amp;INDEX(activity!F:F,MATCH(use_fish!C116,activity!A:A,0)),"")</f>
        <v>海龟+临时活动</v>
      </c>
      <c r="H116" s="2">
        <f>LOOKUP(use_fish!B116,base_fish!A:A,base_fish!F:F)+_xlfn.IFNA(INDEX(activity!E:E,MATCH(use_fish!C116,activity!A:A,0)),0)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</row>
    <row r="117" spans="1:12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LOOKUP(use_fish!B117,base_fish!A:A,base_fish!C:C)+_xlfn.IFNA(INDEX(activity!E:E,MATCH(use_fish!C117,activity!A:A,0)),0)</f>
        <v>51</v>
      </c>
      <c r="E117" s="2">
        <f t="shared" si="12"/>
        <v>1.9607843137254902E-2</v>
      </c>
      <c r="F117" s="2" t="s">
        <v>28</v>
      </c>
      <c r="G117" s="5" t="str">
        <f>INDEX(base_fish!E:E,MATCH(use_fish!B117,base_fish!A:A,0))&amp;_xlfn.IFNA("+"&amp;INDEX(activity!F:F,MATCH(use_fish!C117,activity!A:A,0)),"")</f>
        <v>灯笼鱼+临时活动</v>
      </c>
      <c r="H117" s="2">
        <f>LOOKUP(use_fish!B117,base_fish!A:A,base_fish!F:F)+_xlfn.IFNA(INDEX(activity!E:E,MATCH(use_fish!C117,activity!A:A,0)),0)</f>
        <v>51</v>
      </c>
      <c r="I117">
        <v>1</v>
      </c>
      <c r="J117">
        <f>LOOKUP(use_fish!B117,base_fish!A:A,base_fish!G:G)</f>
        <v>0</v>
      </c>
      <c r="K117">
        <f t="shared" si="7"/>
        <v>51</v>
      </c>
      <c r="L117">
        <v>1</v>
      </c>
    </row>
    <row r="118" spans="1:12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LOOKUP(use_fish!B118,base_fish!A:A,base_fish!C:C)+_xlfn.IFNA(INDEX(activity!E:E,MATCH(use_fish!C118,activity!A:A,0)),0)</f>
        <v>61</v>
      </c>
      <c r="E118" s="2">
        <f t="shared" si="12"/>
        <v>1.6393442622950821E-2</v>
      </c>
      <c r="F118" s="2" t="s">
        <v>28</v>
      </c>
      <c r="G118" s="5" t="str">
        <f>INDEX(base_fish!E:E,MATCH(use_fish!B118,base_fish!A:A,0))&amp;_xlfn.IFNA("+"&amp;INDEX(activity!F:F,MATCH(use_fish!C118,activity!A:A,0)),"")</f>
        <v>魔鬼鱼+临时活动</v>
      </c>
      <c r="H118" s="2">
        <f>LOOKUP(use_fish!B118,base_fish!A:A,base_fish!F:F)+_xlfn.IFNA(INDEX(activity!E:E,MATCH(use_fish!C118,activity!A:A,0)),0)</f>
        <v>61</v>
      </c>
      <c r="I118">
        <v>1</v>
      </c>
      <c r="J118">
        <f>LOOKUP(use_fish!B118,base_fish!A:A,base_fish!G:G)</f>
        <v>0</v>
      </c>
      <c r="K118">
        <f t="shared" si="7"/>
        <v>61</v>
      </c>
      <c r="L118">
        <v>1</v>
      </c>
    </row>
    <row r="119" spans="1:12" x14ac:dyDescent="0.2">
      <c r="A119" s="3">
        <v>118</v>
      </c>
      <c r="B119" s="3">
        <v>19</v>
      </c>
      <c r="C119" s="3">
        <v>1</v>
      </c>
      <c r="D119" s="2">
        <v>50000</v>
      </c>
      <c r="E119" s="2">
        <f t="shared" ref="E119:E122" si="13">1/D119</f>
        <v>2.0000000000000002E-5</v>
      </c>
      <c r="F119" s="2" t="s">
        <v>291</v>
      </c>
      <c r="G119" s="5" t="str">
        <f>INDEX(base_fish!E:E,MATCH(use_fish!B119,base_fish!A:A,0))&amp;_xlfn.IFNA("+"&amp;INDEX(activity!F:F,MATCH(use_fish!C119,activity!A:A,0)),"")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7"/>
        <v>0</v>
      </c>
      <c r="L119">
        <v>1</v>
      </c>
    </row>
    <row r="120" spans="1:12" x14ac:dyDescent="0.2">
      <c r="A120" s="3">
        <v>119</v>
      </c>
      <c r="B120" s="3">
        <v>19</v>
      </c>
      <c r="C120" s="3">
        <v>2</v>
      </c>
      <c r="D120" s="2">
        <v>500000</v>
      </c>
      <c r="E120" s="2">
        <f t="shared" si="13"/>
        <v>1.9999999999999999E-6</v>
      </c>
      <c r="F120" s="2" t="s">
        <v>291</v>
      </c>
      <c r="G120" s="5" t="str">
        <f>INDEX(base_fish!E:E,MATCH(use_fish!B120,base_fish!A:A,0))&amp;_xlfn.IFNA("+"&amp;INDEX(activity!F:F,MATCH(use_fish!C120,activity!A:A,0)),"")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7"/>
        <v>0</v>
      </c>
      <c r="L120">
        <v>1</v>
      </c>
    </row>
    <row r="121" spans="1:12" x14ac:dyDescent="0.2">
      <c r="A121" s="3">
        <v>120</v>
      </c>
      <c r="B121" s="3">
        <v>19</v>
      </c>
      <c r="C121" s="3">
        <v>3</v>
      </c>
      <c r="D121" s="2">
        <v>5000000</v>
      </c>
      <c r="E121" s="2">
        <f t="shared" si="13"/>
        <v>1.9999999999999999E-7</v>
      </c>
      <c r="F121" s="2" t="s">
        <v>291</v>
      </c>
      <c r="G121" s="5" t="str">
        <f>INDEX(base_fish!E:E,MATCH(use_fish!B121,base_fish!A:A,0))&amp;_xlfn.IFNA("+"&amp;INDEX(activity!F:F,MATCH(use_fish!C121,activity!A:A,0)),"")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7"/>
        <v>0</v>
      </c>
      <c r="L121">
        <v>1</v>
      </c>
    </row>
    <row r="122" spans="1:12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si="13"/>
        <v>2E-3</v>
      </c>
      <c r="F122" s="2" t="s">
        <v>28</v>
      </c>
      <c r="G122" s="5" t="str">
        <f>INDEX(base_fish!E:E,MATCH(use_fish!B122,base_fish!A:A,0))&amp;_xlfn.IFNA("+"&amp;INDEX(activity!F:F,MATCH(use_fish!C122,activity!A:A,0)),"")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LOOKUP(use_fish!B122,base_fish!A:A,base_fish!G:G)</f>
        <v>0</v>
      </c>
      <c r="K122">
        <f t="shared" si="7"/>
        <v>500</v>
      </c>
      <c r="L122">
        <v>1</v>
      </c>
    </row>
    <row r="123" spans="1:12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297</v>
      </c>
      <c r="H123" s="2">
        <v>0</v>
      </c>
      <c r="I123" s="2">
        <v>3</v>
      </c>
      <c r="J123" s="2">
        <v>0</v>
      </c>
      <c r="K123" s="2">
        <v>0</v>
      </c>
      <c r="L12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8"/>
  <sheetViews>
    <sheetView workbookViewId="0">
      <selection activeCell="A8" sqref="A8:E8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39</v>
      </c>
      <c r="F1" s="1" t="s">
        <v>54</v>
      </c>
      <c r="G1" s="1" t="s">
        <v>2</v>
      </c>
      <c r="H1" s="1" t="s">
        <v>2</v>
      </c>
      <c r="J1" s="1" t="s">
        <v>183</v>
      </c>
    </row>
    <row r="2" spans="1:10" x14ac:dyDescent="0.2">
      <c r="A2">
        <v>1</v>
      </c>
      <c r="B2">
        <v>1</v>
      </c>
      <c r="C2" t="s">
        <v>211</v>
      </c>
      <c r="D2" s="2">
        <v>0</v>
      </c>
      <c r="E2">
        <v>63</v>
      </c>
      <c r="F2" t="str">
        <f t="shared" ref="F2:F18" si="0">LOOKUP(B2,G:G,H:H)</f>
        <v>免费子弹</v>
      </c>
      <c r="G2">
        <v>1</v>
      </c>
      <c r="H2" t="s">
        <v>55</v>
      </c>
      <c r="J2" t="s">
        <v>248</v>
      </c>
    </row>
    <row r="3" spans="1:10" x14ac:dyDescent="0.2">
      <c r="A3">
        <v>2</v>
      </c>
      <c r="B3">
        <v>2</v>
      </c>
      <c r="C3" t="s">
        <v>221</v>
      </c>
      <c r="D3" s="2">
        <v>0</v>
      </c>
      <c r="E3">
        <v>63</v>
      </c>
      <c r="F3" t="str">
        <f t="shared" si="0"/>
        <v>威力提升</v>
      </c>
      <c r="G3">
        <v>2</v>
      </c>
      <c r="H3" t="s">
        <v>56</v>
      </c>
    </row>
    <row r="4" spans="1:10" x14ac:dyDescent="0.2">
      <c r="A4">
        <v>3</v>
      </c>
      <c r="B4">
        <v>3</v>
      </c>
      <c r="C4" t="s">
        <v>221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57</v>
      </c>
    </row>
    <row r="5" spans="1:10" x14ac:dyDescent="0.2">
      <c r="A5">
        <v>4</v>
      </c>
      <c r="B5">
        <v>4</v>
      </c>
      <c r="C5" t="s">
        <v>171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58</v>
      </c>
    </row>
    <row r="6" spans="1:10" x14ac:dyDescent="0.2">
      <c r="A6">
        <v>5</v>
      </c>
      <c r="B6">
        <v>5</v>
      </c>
      <c r="C6" t="s">
        <v>172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59</v>
      </c>
    </row>
    <row r="7" spans="1:10" x14ac:dyDescent="0.2">
      <c r="A7">
        <v>6</v>
      </c>
      <c r="B7">
        <v>4</v>
      </c>
      <c r="C7" t="s">
        <v>173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60</v>
      </c>
    </row>
    <row r="8" spans="1:10" x14ac:dyDescent="0.2">
      <c r="A8">
        <v>7</v>
      </c>
      <c r="B8">
        <v>1</v>
      </c>
      <c r="C8" t="s">
        <v>170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61</v>
      </c>
    </row>
    <row r="9" spans="1:10" x14ac:dyDescent="0.2">
      <c r="A9">
        <v>8</v>
      </c>
      <c r="B9">
        <v>4</v>
      </c>
      <c r="C9" t="s">
        <v>212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62</v>
      </c>
    </row>
    <row r="10" spans="1:10" x14ac:dyDescent="0.2">
      <c r="A10">
        <v>9</v>
      </c>
      <c r="B10">
        <v>5</v>
      </c>
      <c r="C10" t="s">
        <v>213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277</v>
      </c>
    </row>
    <row r="11" spans="1:10" x14ac:dyDescent="0.2">
      <c r="A11">
        <v>10</v>
      </c>
      <c r="B11">
        <v>5</v>
      </c>
      <c r="C11" t="s">
        <v>174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247</v>
      </c>
    </row>
    <row r="12" spans="1:10" x14ac:dyDescent="0.2">
      <c r="A12">
        <v>11</v>
      </c>
      <c r="B12">
        <v>7</v>
      </c>
      <c r="C12" t="s">
        <v>53</v>
      </c>
      <c r="D12" s="4">
        <v>1</v>
      </c>
      <c r="E12">
        <v>0</v>
      </c>
      <c r="F12" t="str">
        <f t="shared" si="0"/>
        <v>锁定卡</v>
      </c>
      <c r="G12">
        <v>11</v>
      </c>
      <c r="H12" t="s">
        <v>284</v>
      </c>
    </row>
    <row r="13" spans="1:10" x14ac:dyDescent="0.2">
      <c r="A13">
        <v>12</v>
      </c>
      <c r="B13">
        <v>7</v>
      </c>
      <c r="C13" t="s">
        <v>63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49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63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222</v>
      </c>
      <c r="D16" s="4">
        <v>1</v>
      </c>
      <c r="E16">
        <v>1</v>
      </c>
      <c r="F16" t="str">
        <f t="shared" si="0"/>
        <v>临时活动</v>
      </c>
    </row>
    <row r="17" spans="1:6" x14ac:dyDescent="0.2">
      <c r="A17">
        <v>16</v>
      </c>
      <c r="B17">
        <v>9</v>
      </c>
      <c r="C17" t="s">
        <v>222</v>
      </c>
      <c r="D17" s="4">
        <v>0</v>
      </c>
      <c r="E17">
        <v>1</v>
      </c>
      <c r="F17" t="str">
        <f t="shared" si="0"/>
        <v>临时活动</v>
      </c>
    </row>
    <row r="18" spans="1:6" x14ac:dyDescent="0.2">
      <c r="A18">
        <v>17</v>
      </c>
      <c r="B18">
        <v>10</v>
      </c>
      <c r="C18" s="8" t="s">
        <v>296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H27" sqref="H2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292</v>
      </c>
      <c r="C1" s="1" t="s">
        <v>293</v>
      </c>
      <c r="D1" s="1" t="s">
        <v>294</v>
      </c>
    </row>
    <row r="2" spans="1:4" x14ac:dyDescent="0.2">
      <c r="A2">
        <v>1</v>
      </c>
      <c r="B2">
        <v>450</v>
      </c>
      <c r="C2">
        <v>1</v>
      </c>
      <c r="D2">
        <v>50000</v>
      </c>
    </row>
    <row r="3" spans="1:4" x14ac:dyDescent="0.2">
      <c r="A3">
        <v>2</v>
      </c>
      <c r="B3">
        <v>450</v>
      </c>
      <c r="C3">
        <v>1</v>
      </c>
      <c r="D3">
        <v>500000</v>
      </c>
    </row>
    <row r="4" spans="1:4" x14ac:dyDescent="0.2">
      <c r="A4">
        <v>3</v>
      </c>
      <c r="B4">
        <v>450</v>
      </c>
      <c r="C4">
        <v>1</v>
      </c>
      <c r="D4">
        <v>5000000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8"/>
  <sheetViews>
    <sheetView topLeftCell="A10" zoomScaleNormal="100" workbookViewId="0">
      <selection activeCell="K34" sqref="K34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5" width="8.625" style="2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278</v>
      </c>
      <c r="D1" s="1" t="s">
        <v>0</v>
      </c>
      <c r="E1" s="1" t="s">
        <v>7</v>
      </c>
      <c r="F1" s="1" t="s">
        <v>286</v>
      </c>
      <c r="G1" s="10" t="s">
        <v>287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191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192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193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194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195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196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197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198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199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200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201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202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268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275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295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321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322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323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324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325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326</v>
      </c>
      <c r="F28" s="2">
        <f t="shared" si="1"/>
        <v>50</v>
      </c>
      <c r="G28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22" workbookViewId="0">
      <selection activeCell="A49" sqref="A49:B4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182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4" workbookViewId="0">
      <selection activeCell="D32" sqref="D3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214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32" sqref="F32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C3" sqref="C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184</v>
      </c>
      <c r="C1" s="1" t="s">
        <v>185</v>
      </c>
      <c r="D1" s="1" t="s">
        <v>186</v>
      </c>
      <c r="XFD1" s="1"/>
    </row>
    <row r="2" spans="1:4 16384:16384" x14ac:dyDescent="0.2">
      <c r="A2">
        <v>1</v>
      </c>
      <c r="B2" t="s">
        <v>187</v>
      </c>
      <c r="C2">
        <v>10</v>
      </c>
      <c r="D2">
        <v>0</v>
      </c>
    </row>
    <row r="3" spans="1:4 16384:16384" x14ac:dyDescent="0.2">
      <c r="A3">
        <v>2</v>
      </c>
      <c r="B3" t="s">
        <v>188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37" sqref="C37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251</v>
      </c>
      <c r="B1" s="1" t="s">
        <v>252</v>
      </c>
      <c r="C1" s="1" t="s">
        <v>183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253</v>
      </c>
      <c r="C2" s="2"/>
    </row>
    <row r="3" spans="1:10 16384:16384" x14ac:dyDescent="0.2">
      <c r="A3" s="2">
        <v>2</v>
      </c>
      <c r="B3" s="2" t="s">
        <v>281</v>
      </c>
      <c r="C3" s="2" t="s">
        <v>254</v>
      </c>
    </row>
    <row r="4" spans="1:10 16384:16384" x14ac:dyDescent="0.2">
      <c r="A4" s="2">
        <v>3</v>
      </c>
      <c r="B4" s="2" t="s">
        <v>282</v>
      </c>
      <c r="C4" s="2" t="s">
        <v>255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12" sqref="F12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262</v>
      </c>
      <c r="D2" s="2">
        <v>0</v>
      </c>
      <c r="E2" s="2"/>
      <c r="F2" t="s">
        <v>263</v>
      </c>
    </row>
    <row r="3" spans="1:10 16384:16384" ht="39" customHeight="1" x14ac:dyDescent="0.2">
      <c r="A3" s="2">
        <v>2</v>
      </c>
      <c r="B3" s="2">
        <v>1</v>
      </c>
      <c r="C3" s="2" t="s">
        <v>264</v>
      </c>
      <c r="D3" s="2">
        <v>1</v>
      </c>
      <c r="E3" s="2" t="s">
        <v>273</v>
      </c>
      <c r="F3" t="s">
        <v>265</v>
      </c>
    </row>
    <row r="4" spans="1:10 16384:16384" ht="63.75" customHeight="1" x14ac:dyDescent="0.2">
      <c r="A4" s="2">
        <v>3</v>
      </c>
      <c r="B4" s="2">
        <v>1</v>
      </c>
      <c r="C4" s="2" t="s">
        <v>266</v>
      </c>
      <c r="D4" s="2">
        <v>0</v>
      </c>
      <c r="E4" s="4" t="s">
        <v>272</v>
      </c>
      <c r="F4" t="s">
        <v>267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2019-07-16T06:38:32Z</dcterms:modified>
</cp:coreProperties>
</file>