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2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skill" sheetId="29" r:id="rId9"/>
    <sheet name="box_fish_activity" sheetId="33" r:id="rId10"/>
    <sheet name="base_fish" sheetId="1" r:id="rId11"/>
    <sheet name="path" sheetId="2" r:id="rId12"/>
    <sheet name="laser" sheetId="18" r:id="rId13"/>
    <sheet name="gun" sheetId="25" r:id="rId14"/>
    <sheet name="dead_mode" sheetId="31" r:id="rId15"/>
    <sheet name="box_fish_award" sheetId="32" r:id="rId16"/>
    <sheet name="match_award" sheetId="36" r:id="rId17"/>
    <sheet name="ue_event_map" sheetId="37" r:id="rId18"/>
  </sheets>
  <definedNames>
    <definedName name="_xlnm._FilterDatabase" localSheetId="5" hidden="1">group!$I$1:$I$129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37" i="14" l="1"/>
  <c r="J137" i="14"/>
  <c r="H137" i="14"/>
  <c r="G137" i="14"/>
  <c r="D137" i="14"/>
  <c r="E137" i="14"/>
  <c r="H36" i="5"/>
  <c r="H35" i="5"/>
  <c r="D42" i="18"/>
  <c r="D43" i="18"/>
  <c r="D44" i="18"/>
  <c r="D45" i="18"/>
  <c r="H34" i="5"/>
  <c r="H156" i="7"/>
  <c r="I156" i="7"/>
  <c r="J156" i="7"/>
  <c r="H157" i="7"/>
  <c r="I157" i="7"/>
  <c r="J157" i="7"/>
  <c r="H158" i="7"/>
  <c r="I158" i="7"/>
  <c r="J158" i="7"/>
  <c r="H159" i="7"/>
  <c r="I159" i="7"/>
  <c r="J159" i="7"/>
  <c r="K136" i="14"/>
  <c r="J136" i="14"/>
  <c r="H136" i="14"/>
  <c r="G136" i="14"/>
  <c r="D136" i="14"/>
  <c r="E136" i="14"/>
  <c r="E135" i="14"/>
  <c r="E134" i="14"/>
  <c r="E133" i="14"/>
  <c r="E132" i="14"/>
  <c r="H153" i="7"/>
  <c r="I153" i="7"/>
  <c r="J153" i="7"/>
  <c r="H154" i="7"/>
  <c r="I154" i="7"/>
  <c r="J154" i="7"/>
  <c r="H155" i="7"/>
  <c r="I155" i="7"/>
  <c r="J155" i="7"/>
  <c r="H30" i="5"/>
  <c r="H33" i="5"/>
  <c r="H32" i="5"/>
  <c r="H31" i="5"/>
  <c r="H29" i="5"/>
  <c r="H28" i="5"/>
  <c r="H27" i="5"/>
  <c r="H26" i="5"/>
  <c r="H25" i="5"/>
  <c r="H24" i="5"/>
  <c r="H23" i="5"/>
  <c r="H22" i="5"/>
  <c r="H21" i="5"/>
  <c r="E131" i="14"/>
  <c r="H20" i="5"/>
  <c r="E130" i="14"/>
  <c r="H19" i="5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2" i="14"/>
  <c r="H2" i="14"/>
  <c r="H150" i="7"/>
  <c r="I150" i="7"/>
  <c r="J150" i="7"/>
  <c r="H151" i="7"/>
  <c r="I151" i="7"/>
  <c r="J151" i="7"/>
  <c r="H152" i="7"/>
  <c r="I152" i="7"/>
  <c r="J152" i="7"/>
  <c r="E126" i="14"/>
  <c r="E127" i="14"/>
  <c r="E128" i="14"/>
  <c r="E129" i="14"/>
  <c r="E125" i="14"/>
  <c r="E124" i="14"/>
  <c r="G125" i="14"/>
  <c r="G126" i="14"/>
  <c r="G127" i="14"/>
  <c r="G128" i="14"/>
  <c r="H3" i="5"/>
  <c r="G124" i="14"/>
  <c r="D28" i="1"/>
  <c r="D27" i="1"/>
  <c r="D26" i="1"/>
  <c r="D25" i="1"/>
  <c r="D24" i="1"/>
  <c r="D23" i="1"/>
  <c r="H9" i="14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2" i="1"/>
  <c r="F22" i="1"/>
  <c r="D122" i="14"/>
  <c r="H149" i="7"/>
  <c r="J3" i="14"/>
  <c r="J5" i="7"/>
  <c r="J4" i="14"/>
  <c r="J5" i="14"/>
  <c r="J6" i="14"/>
  <c r="J20" i="7"/>
  <c r="J7" i="14"/>
  <c r="J21" i="7"/>
  <c r="J8" i="14"/>
  <c r="J9" i="14"/>
  <c r="J10" i="14"/>
  <c r="J24" i="7"/>
  <c r="J11" i="14"/>
  <c r="J25" i="7"/>
  <c r="J12" i="14"/>
  <c r="J26" i="7"/>
  <c r="J13" i="14"/>
  <c r="J27" i="7"/>
  <c r="J14" i="14"/>
  <c r="J15" i="14"/>
  <c r="J29" i="7"/>
  <c r="J16" i="14"/>
  <c r="J30" i="7"/>
  <c r="J17" i="14"/>
  <c r="J31" i="7"/>
  <c r="J18" i="14"/>
  <c r="J32" i="7"/>
  <c r="J19" i="14"/>
  <c r="J33" i="7"/>
  <c r="J20" i="14"/>
  <c r="J34" i="7"/>
  <c r="J21" i="14"/>
  <c r="J35" i="7"/>
  <c r="J22" i="14"/>
  <c r="J36" i="7"/>
  <c r="J23" i="14"/>
  <c r="J37" i="7"/>
  <c r="J24" i="14"/>
  <c r="J38" i="7"/>
  <c r="J25" i="14"/>
  <c r="J39" i="7"/>
  <c r="J26" i="14"/>
  <c r="J40" i="7"/>
  <c r="J27" i="14"/>
  <c r="J41" i="7"/>
  <c r="J28" i="14"/>
  <c r="J42" i="7"/>
  <c r="J29" i="14"/>
  <c r="J43" i="7"/>
  <c r="J30" i="14"/>
  <c r="J44" i="7"/>
  <c r="J31" i="14"/>
  <c r="J45" i="7"/>
  <c r="J32" i="14"/>
  <c r="J46" i="7"/>
  <c r="J33" i="14"/>
  <c r="J47" i="7"/>
  <c r="J34" i="14"/>
  <c r="J48" i="7"/>
  <c r="J35" i="14"/>
  <c r="J49" i="7"/>
  <c r="J36" i="14"/>
  <c r="J50" i="7"/>
  <c r="J37" i="14"/>
  <c r="J51" i="7"/>
  <c r="J38" i="14"/>
  <c r="J52" i="7"/>
  <c r="J39" i="14"/>
  <c r="J53" i="7"/>
  <c r="J40" i="14"/>
  <c r="J54" i="7"/>
  <c r="J41" i="14"/>
  <c r="J55" i="7"/>
  <c r="J42" i="14"/>
  <c r="J56" i="7"/>
  <c r="J43" i="14"/>
  <c r="J57" i="7"/>
  <c r="J44" i="14"/>
  <c r="J58" i="7"/>
  <c r="J45" i="14"/>
  <c r="J59" i="7"/>
  <c r="J46" i="14"/>
  <c r="J60" i="7"/>
  <c r="J47" i="14"/>
  <c r="J61" i="7"/>
  <c r="J48" i="14"/>
  <c r="J62" i="7"/>
  <c r="J49" i="14"/>
  <c r="J63" i="7"/>
  <c r="J50" i="14"/>
  <c r="J64" i="7"/>
  <c r="J51" i="14"/>
  <c r="J65" i="7"/>
  <c r="J52" i="14"/>
  <c r="J66" i="7"/>
  <c r="J53" i="14"/>
  <c r="J67" i="7"/>
  <c r="J54" i="14"/>
  <c r="J68" i="7"/>
  <c r="J55" i="14"/>
  <c r="J69" i="7"/>
  <c r="J56" i="14"/>
  <c r="J70" i="7"/>
  <c r="J57" i="14"/>
  <c r="J71" i="7"/>
  <c r="J58" i="14"/>
  <c r="J72" i="7"/>
  <c r="J59" i="14"/>
  <c r="J73" i="7"/>
  <c r="J60" i="14"/>
  <c r="J74" i="7"/>
  <c r="J61" i="14"/>
  <c r="J75" i="7"/>
  <c r="J62" i="14"/>
  <c r="J76" i="7"/>
  <c r="J63" i="14"/>
  <c r="J77" i="7"/>
  <c r="J64" i="14"/>
  <c r="J78" i="7"/>
  <c r="J65" i="14"/>
  <c r="J79" i="7"/>
  <c r="J66" i="14"/>
  <c r="J80" i="7"/>
  <c r="J67" i="14"/>
  <c r="J81" i="7"/>
  <c r="J68" i="14"/>
  <c r="J82" i="7"/>
  <c r="J69" i="14"/>
  <c r="J83" i="7"/>
  <c r="J70" i="14"/>
  <c r="J84" i="7"/>
  <c r="J71" i="14"/>
  <c r="J85" i="7"/>
  <c r="J72" i="14"/>
  <c r="J86" i="7"/>
  <c r="J73" i="14"/>
  <c r="J87" i="7"/>
  <c r="J74" i="14"/>
  <c r="J88" i="7"/>
  <c r="J75" i="14"/>
  <c r="J89" i="7"/>
  <c r="J76" i="14"/>
  <c r="J90" i="7"/>
  <c r="J77" i="14"/>
  <c r="J91" i="7"/>
  <c r="J78" i="14"/>
  <c r="J92" i="7"/>
  <c r="J79" i="14"/>
  <c r="J93" i="7"/>
  <c r="J80" i="14"/>
  <c r="J94" i="7"/>
  <c r="J81" i="14"/>
  <c r="J95" i="7"/>
  <c r="J82" i="14"/>
  <c r="J96" i="7"/>
  <c r="J83" i="14"/>
  <c r="J97" i="7"/>
  <c r="J84" i="14"/>
  <c r="J98" i="7"/>
  <c r="J85" i="14"/>
  <c r="J99" i="7"/>
  <c r="J86" i="14"/>
  <c r="J100" i="7"/>
  <c r="J87" i="14"/>
  <c r="J101" i="7"/>
  <c r="J88" i="14"/>
  <c r="J102" i="7"/>
  <c r="J89" i="14"/>
  <c r="J103" i="7"/>
  <c r="J90" i="14"/>
  <c r="J104" i="7"/>
  <c r="J91" i="14"/>
  <c r="J105" i="7"/>
  <c r="J92" i="14"/>
  <c r="J106" i="7"/>
  <c r="J93" i="14"/>
  <c r="J107" i="7"/>
  <c r="J94" i="14"/>
  <c r="J108" i="7"/>
  <c r="J95" i="14"/>
  <c r="J109" i="7"/>
  <c r="J96" i="14"/>
  <c r="J110" i="7"/>
  <c r="J97" i="14"/>
  <c r="J111" i="7"/>
  <c r="J98" i="14"/>
  <c r="J112" i="7"/>
  <c r="J99" i="14"/>
  <c r="J113" i="7"/>
  <c r="J100" i="14"/>
  <c r="J114" i="7"/>
  <c r="J101" i="14"/>
  <c r="J115" i="7"/>
  <c r="J102" i="14"/>
  <c r="J116" i="7"/>
  <c r="J103" i="14"/>
  <c r="J130" i="7"/>
  <c r="J104" i="14"/>
  <c r="J131" i="7"/>
  <c r="J105" i="14"/>
  <c r="J132" i="7"/>
  <c r="J106" i="14"/>
  <c r="J133" i="7"/>
  <c r="J107" i="14"/>
  <c r="J134" i="7"/>
  <c r="J108" i="14"/>
  <c r="J135" i="7"/>
  <c r="J109" i="14"/>
  <c r="J136" i="7"/>
  <c r="J110" i="14"/>
  <c r="J137" i="7"/>
  <c r="J111" i="14"/>
  <c r="J138" i="7"/>
  <c r="J112" i="14"/>
  <c r="J139" i="7"/>
  <c r="J113" i="14"/>
  <c r="J140" i="7"/>
  <c r="J114" i="14"/>
  <c r="J141" i="7"/>
  <c r="J115" i="14"/>
  <c r="J142" i="7"/>
  <c r="J116" i="14"/>
  <c r="J143" i="7"/>
  <c r="J117" i="14"/>
  <c r="J144" i="7"/>
  <c r="J118" i="14"/>
  <c r="J145" i="7"/>
  <c r="J119" i="14"/>
  <c r="J146" i="7"/>
  <c r="J120" i="14"/>
  <c r="J147" i="7"/>
  <c r="J121" i="14"/>
  <c r="J148" i="7"/>
  <c r="J122" i="14"/>
  <c r="J149" i="7"/>
  <c r="J2" i="14"/>
  <c r="J9" i="7"/>
  <c r="J121" i="7"/>
  <c r="J2" i="7"/>
  <c r="J6" i="7"/>
  <c r="J10" i="7"/>
  <c r="J14" i="7"/>
  <c r="J18" i="7"/>
  <c r="J22" i="7"/>
  <c r="J126" i="7"/>
  <c r="J3" i="7"/>
  <c r="J11" i="7"/>
  <c r="J15" i="7"/>
  <c r="J19" i="7"/>
  <c r="J119" i="7"/>
  <c r="J123" i="7"/>
  <c r="J127" i="7"/>
  <c r="I2" i="7"/>
  <c r="J4" i="7"/>
  <c r="J8" i="7"/>
  <c r="J16" i="7"/>
  <c r="J28" i="7"/>
  <c r="J124" i="7"/>
  <c r="J128" i="7"/>
  <c r="J13" i="7"/>
  <c r="J117" i="7"/>
  <c r="I146" i="7"/>
  <c r="D2" i="1"/>
  <c r="F2" i="1"/>
  <c r="D2" i="14"/>
  <c r="H2" i="7"/>
  <c r="F3" i="1"/>
  <c r="H3" i="14"/>
  <c r="F4" i="1"/>
  <c r="H4" i="14"/>
  <c r="I8" i="7"/>
  <c r="F5" i="1"/>
  <c r="H5" i="14"/>
  <c r="H6" i="14"/>
  <c r="H11" i="14"/>
  <c r="I129" i="7"/>
  <c r="F6" i="1"/>
  <c r="I20" i="7"/>
  <c r="F7" i="1"/>
  <c r="H7" i="14"/>
  <c r="I15" i="7"/>
  <c r="F8" i="1"/>
  <c r="H8" i="14"/>
  <c r="I120" i="7"/>
  <c r="F9" i="1"/>
  <c r="F10" i="1"/>
  <c r="H10" i="14"/>
  <c r="I24" i="7"/>
  <c r="F11" i="1"/>
  <c r="F12" i="1"/>
  <c r="H12" i="14"/>
  <c r="F13" i="1"/>
  <c r="H13" i="14"/>
  <c r="F16" i="1"/>
  <c r="H91" i="14"/>
  <c r="F15" i="1"/>
  <c r="H15" i="14"/>
  <c r="H16" i="14"/>
  <c r="F17" i="1"/>
  <c r="H17" i="14"/>
  <c r="F18" i="1"/>
  <c r="H18" i="14"/>
  <c r="I32" i="7"/>
  <c r="F19" i="1"/>
  <c r="H19" i="14"/>
  <c r="H20" i="14"/>
  <c r="H21" i="14"/>
  <c r="I35" i="7"/>
  <c r="H22" i="14"/>
  <c r="H23" i="14"/>
  <c r="H24" i="14"/>
  <c r="H25" i="14"/>
  <c r="I39" i="7"/>
  <c r="H26" i="14"/>
  <c r="H27" i="14"/>
  <c r="H28" i="14"/>
  <c r="H29" i="14"/>
  <c r="I43" i="7"/>
  <c r="H30" i="14"/>
  <c r="H31" i="14"/>
  <c r="H32" i="14"/>
  <c r="H33" i="14"/>
  <c r="I47" i="7"/>
  <c r="H34" i="14"/>
  <c r="H35" i="14"/>
  <c r="H36" i="14"/>
  <c r="H37" i="14"/>
  <c r="I51" i="7"/>
  <c r="H38" i="14"/>
  <c r="H39" i="14"/>
  <c r="H40" i="14"/>
  <c r="H41" i="14"/>
  <c r="I55" i="7"/>
  <c r="H42" i="14"/>
  <c r="H43" i="14"/>
  <c r="H44" i="14"/>
  <c r="H45" i="14"/>
  <c r="H46" i="14"/>
  <c r="H47" i="14"/>
  <c r="H48" i="14"/>
  <c r="H49" i="14"/>
  <c r="I63" i="7"/>
  <c r="H50" i="14"/>
  <c r="H51" i="14"/>
  <c r="H52" i="14"/>
  <c r="H53" i="14"/>
  <c r="I67" i="7"/>
  <c r="H54" i="14"/>
  <c r="H55" i="14"/>
  <c r="H56" i="14"/>
  <c r="H57" i="14"/>
  <c r="H58" i="14"/>
  <c r="H59" i="14"/>
  <c r="H60" i="14"/>
  <c r="H61" i="14"/>
  <c r="I75" i="7"/>
  <c r="H62" i="14"/>
  <c r="H63" i="14"/>
  <c r="H64" i="14"/>
  <c r="H65" i="14"/>
  <c r="I79" i="7"/>
  <c r="H66" i="14"/>
  <c r="H67" i="14"/>
  <c r="H68" i="14"/>
  <c r="H69" i="14"/>
  <c r="I83" i="7"/>
  <c r="H70" i="14"/>
  <c r="H71" i="14"/>
  <c r="H72" i="14"/>
  <c r="H73" i="14"/>
  <c r="I87" i="7"/>
  <c r="H74" i="14"/>
  <c r="H75" i="14"/>
  <c r="H76" i="14"/>
  <c r="H77" i="14"/>
  <c r="I91" i="7"/>
  <c r="H78" i="14"/>
  <c r="H79" i="14"/>
  <c r="H80" i="14"/>
  <c r="H81" i="14"/>
  <c r="I95" i="7"/>
  <c r="H82" i="14"/>
  <c r="H83" i="14"/>
  <c r="H84" i="14"/>
  <c r="H85" i="14"/>
  <c r="I99" i="7"/>
  <c r="H86" i="14"/>
  <c r="H87" i="14"/>
  <c r="H88" i="14"/>
  <c r="H89" i="14"/>
  <c r="I103" i="7"/>
  <c r="H90" i="14"/>
  <c r="H92" i="14"/>
  <c r="H93" i="14"/>
  <c r="H94" i="14"/>
  <c r="I108" i="7"/>
  <c r="H95" i="14"/>
  <c r="H96" i="14"/>
  <c r="H97" i="14"/>
  <c r="H98" i="14"/>
  <c r="H99" i="14"/>
  <c r="H100" i="14"/>
  <c r="H101" i="14"/>
  <c r="H102" i="14"/>
  <c r="I116" i="7"/>
  <c r="H103" i="14"/>
  <c r="H104" i="14"/>
  <c r="H105" i="14"/>
  <c r="H106" i="14"/>
  <c r="I133" i="7"/>
  <c r="H107" i="14"/>
  <c r="H108" i="14"/>
  <c r="H109" i="14"/>
  <c r="H110" i="14"/>
  <c r="H111" i="14"/>
  <c r="H112" i="14"/>
  <c r="H113" i="14"/>
  <c r="H114" i="14"/>
  <c r="I141" i="7"/>
  <c r="H115" i="14"/>
  <c r="H116" i="14"/>
  <c r="H117" i="14"/>
  <c r="H118" i="14"/>
  <c r="I145" i="7"/>
  <c r="F20" i="1"/>
  <c r="I147" i="7"/>
  <c r="I148" i="7"/>
  <c r="F21" i="1"/>
  <c r="H122" i="14"/>
  <c r="D3" i="14"/>
  <c r="H4" i="7"/>
  <c r="D4" i="14"/>
  <c r="H6" i="7"/>
  <c r="D5" i="14"/>
  <c r="H13" i="7"/>
  <c r="D6" i="14"/>
  <c r="H14" i="7"/>
  <c r="D7" i="14"/>
  <c r="H15" i="7"/>
  <c r="D8" i="14"/>
  <c r="H16" i="7"/>
  <c r="D9" i="14"/>
  <c r="H17" i="7"/>
  <c r="D10" i="14"/>
  <c r="H18" i="7"/>
  <c r="D11" i="14"/>
  <c r="H25" i="7"/>
  <c r="D12" i="14"/>
  <c r="H26" i="7"/>
  <c r="D13" i="14"/>
  <c r="H27" i="7"/>
  <c r="D91" i="14"/>
  <c r="H28" i="7"/>
  <c r="D15" i="14"/>
  <c r="H29" i="7"/>
  <c r="D16" i="14"/>
  <c r="H30" i="7"/>
  <c r="D17" i="14"/>
  <c r="H31" i="7"/>
  <c r="D18" i="14"/>
  <c r="H32" i="7"/>
  <c r="D19" i="14"/>
  <c r="H33" i="7"/>
  <c r="D20" i="14"/>
  <c r="H34" i="7"/>
  <c r="D21" i="14"/>
  <c r="H35" i="7"/>
  <c r="D22" i="14"/>
  <c r="H36" i="7"/>
  <c r="D23" i="14"/>
  <c r="H37" i="7"/>
  <c r="D24" i="14"/>
  <c r="H38" i="7"/>
  <c r="D25" i="14"/>
  <c r="H39" i="7"/>
  <c r="D26" i="14"/>
  <c r="H40" i="7"/>
  <c r="D27" i="14"/>
  <c r="H41" i="7"/>
  <c r="D28" i="14"/>
  <c r="H42" i="7"/>
  <c r="D29" i="14"/>
  <c r="H43" i="7"/>
  <c r="D30" i="14"/>
  <c r="H44" i="7"/>
  <c r="D31" i="14"/>
  <c r="H45" i="7"/>
  <c r="D32" i="14"/>
  <c r="H46" i="7"/>
  <c r="D33" i="14"/>
  <c r="H47" i="7"/>
  <c r="D34" i="14"/>
  <c r="H48" i="7"/>
  <c r="D35" i="14"/>
  <c r="H49" i="7"/>
  <c r="D36" i="14"/>
  <c r="H50" i="7"/>
  <c r="D37" i="14"/>
  <c r="H51" i="7"/>
  <c r="D38" i="14"/>
  <c r="H52" i="7"/>
  <c r="D39" i="14"/>
  <c r="H53" i="7"/>
  <c r="D40" i="14"/>
  <c r="H54" i="7"/>
  <c r="D41" i="14"/>
  <c r="H55" i="7"/>
  <c r="D42" i="14"/>
  <c r="H56" i="7"/>
  <c r="D43" i="14"/>
  <c r="H57" i="7"/>
  <c r="D44" i="14"/>
  <c r="H58" i="7"/>
  <c r="D45" i="14"/>
  <c r="H59" i="7"/>
  <c r="D46" i="14"/>
  <c r="H60" i="7"/>
  <c r="D47" i="14"/>
  <c r="H61" i="7"/>
  <c r="D48" i="14"/>
  <c r="H62" i="7"/>
  <c r="D49" i="14"/>
  <c r="H63" i="7"/>
  <c r="D50" i="14"/>
  <c r="H64" i="7"/>
  <c r="D51" i="14"/>
  <c r="H65" i="7"/>
  <c r="D52" i="14"/>
  <c r="H66" i="7"/>
  <c r="D53" i="14"/>
  <c r="H67" i="7"/>
  <c r="D54" i="14"/>
  <c r="H68" i="7"/>
  <c r="D55" i="14"/>
  <c r="H69" i="7"/>
  <c r="D56" i="14"/>
  <c r="H70" i="7"/>
  <c r="D57" i="14"/>
  <c r="H71" i="7"/>
  <c r="D58" i="14"/>
  <c r="H72" i="7"/>
  <c r="D59" i="14"/>
  <c r="H73" i="7"/>
  <c r="D60" i="14"/>
  <c r="H74" i="7"/>
  <c r="D61" i="14"/>
  <c r="H75" i="7"/>
  <c r="D62" i="14"/>
  <c r="H76" i="7"/>
  <c r="D63" i="14"/>
  <c r="H77" i="7"/>
  <c r="D64" i="14"/>
  <c r="H78" i="7"/>
  <c r="D65" i="14"/>
  <c r="H79" i="7"/>
  <c r="D66" i="14"/>
  <c r="H80" i="7"/>
  <c r="D67" i="14"/>
  <c r="H81" i="7"/>
  <c r="D68" i="14"/>
  <c r="H82" i="7"/>
  <c r="D69" i="14"/>
  <c r="H83" i="7"/>
  <c r="D70" i="14"/>
  <c r="H84" i="7"/>
  <c r="D71" i="14"/>
  <c r="H85" i="7"/>
  <c r="D72" i="14"/>
  <c r="H86" i="7"/>
  <c r="D73" i="14"/>
  <c r="H87" i="7"/>
  <c r="D74" i="14"/>
  <c r="H88" i="7"/>
  <c r="D75" i="14"/>
  <c r="H89" i="7"/>
  <c r="D76" i="14"/>
  <c r="H90" i="7"/>
  <c r="D77" i="14"/>
  <c r="H91" i="7"/>
  <c r="D78" i="14"/>
  <c r="H92" i="7"/>
  <c r="D79" i="14"/>
  <c r="H93" i="7"/>
  <c r="D80" i="14"/>
  <c r="H94" i="7"/>
  <c r="D81" i="14"/>
  <c r="H95" i="7"/>
  <c r="D82" i="14"/>
  <c r="H96" i="7"/>
  <c r="D83" i="14"/>
  <c r="H97" i="7"/>
  <c r="D84" i="14"/>
  <c r="H98" i="7"/>
  <c r="D85" i="14"/>
  <c r="H99" i="7"/>
  <c r="D86" i="14"/>
  <c r="H100" i="7"/>
  <c r="D87" i="14"/>
  <c r="H101" i="7"/>
  <c r="D88" i="14"/>
  <c r="H102" i="7"/>
  <c r="D89" i="14"/>
  <c r="H103" i="7"/>
  <c r="D90" i="14"/>
  <c r="H104" i="7"/>
  <c r="D92" i="14"/>
  <c r="H106" i="7"/>
  <c r="D93" i="14"/>
  <c r="H107" i="7"/>
  <c r="D94" i="14"/>
  <c r="H108" i="7"/>
  <c r="D95" i="14"/>
  <c r="H109" i="7"/>
  <c r="D96" i="14"/>
  <c r="H110" i="7"/>
  <c r="D97" i="14"/>
  <c r="H111" i="7"/>
  <c r="D98" i="14"/>
  <c r="H112" i="7"/>
  <c r="D99" i="14"/>
  <c r="H113" i="7"/>
  <c r="D100" i="14"/>
  <c r="H114" i="7"/>
  <c r="D101" i="14"/>
  <c r="H115" i="7"/>
  <c r="D102" i="14"/>
  <c r="H116" i="7"/>
  <c r="D103" i="14"/>
  <c r="H130" i="7"/>
  <c r="D104" i="14"/>
  <c r="H131" i="7"/>
  <c r="D105" i="14"/>
  <c r="H132" i="7"/>
  <c r="D106" i="14"/>
  <c r="H133" i="7"/>
  <c r="D107" i="14"/>
  <c r="H134" i="7"/>
  <c r="D108" i="14"/>
  <c r="H135" i="7"/>
  <c r="D109" i="14"/>
  <c r="H136" i="7"/>
  <c r="D110" i="14"/>
  <c r="H137" i="7"/>
  <c r="D111" i="14"/>
  <c r="H138" i="7"/>
  <c r="D112" i="14"/>
  <c r="H139" i="7"/>
  <c r="D113" i="14"/>
  <c r="H140" i="7"/>
  <c r="D114" i="14"/>
  <c r="H141" i="7"/>
  <c r="D115" i="14"/>
  <c r="H142" i="7"/>
  <c r="D116" i="14"/>
  <c r="H143" i="7"/>
  <c r="D117" i="14"/>
  <c r="H144" i="7"/>
  <c r="D118" i="14"/>
  <c r="H145" i="7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F14" i="1"/>
  <c r="H14" i="14"/>
  <c r="D14" i="14"/>
  <c r="E14" i="14"/>
  <c r="H16" i="5"/>
  <c r="G104" i="14"/>
  <c r="G122" i="14"/>
  <c r="H18" i="5"/>
  <c r="G34" i="14"/>
  <c r="E119" i="14"/>
  <c r="E120" i="14"/>
  <c r="E121" i="14"/>
  <c r="G2" i="30"/>
  <c r="F2" i="30"/>
  <c r="H17" i="5"/>
  <c r="G113" i="14"/>
  <c r="G106" i="14"/>
  <c r="G107" i="14"/>
  <c r="G2" i="14"/>
  <c r="G29" i="14"/>
  <c r="G41" i="14"/>
  <c r="G50" i="14"/>
  <c r="G60" i="14"/>
  <c r="G69" i="14"/>
  <c r="G77" i="14"/>
  <c r="G87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30" i="14"/>
  <c r="G31" i="14"/>
  <c r="G32" i="14"/>
  <c r="G33" i="14"/>
  <c r="G35" i="14"/>
  <c r="G36" i="14"/>
  <c r="G37" i="14"/>
  <c r="G38" i="14"/>
  <c r="G39" i="14"/>
  <c r="G40" i="14"/>
  <c r="G42" i="14"/>
  <c r="G43" i="14"/>
  <c r="G44" i="14"/>
  <c r="G45" i="14"/>
  <c r="G46" i="14"/>
  <c r="G47" i="14"/>
  <c r="G48" i="14"/>
  <c r="G49" i="14"/>
  <c r="G51" i="14"/>
  <c r="G52" i="14"/>
  <c r="G53" i="14"/>
  <c r="G54" i="14"/>
  <c r="G55" i="14"/>
  <c r="G56" i="14"/>
  <c r="G57" i="14"/>
  <c r="G58" i="14"/>
  <c r="G59" i="14"/>
  <c r="G61" i="14"/>
  <c r="G62" i="14"/>
  <c r="G63" i="14"/>
  <c r="G64" i="14"/>
  <c r="G65" i="14"/>
  <c r="G66" i="14"/>
  <c r="G67" i="14"/>
  <c r="G68" i="14"/>
  <c r="G70" i="14"/>
  <c r="G71" i="14"/>
  <c r="G72" i="14"/>
  <c r="G73" i="14"/>
  <c r="G74" i="14"/>
  <c r="G75" i="14"/>
  <c r="G76" i="14"/>
  <c r="G78" i="14"/>
  <c r="G79" i="14"/>
  <c r="G80" i="14"/>
  <c r="G81" i="14"/>
  <c r="G82" i="14"/>
  <c r="G83" i="14"/>
  <c r="G84" i="14"/>
  <c r="G85" i="14"/>
  <c r="G86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5" i="14"/>
  <c r="G108" i="14"/>
  <c r="G109" i="14"/>
  <c r="G110" i="14"/>
  <c r="G111" i="14"/>
  <c r="G112" i="14"/>
  <c r="G114" i="14"/>
  <c r="G115" i="14"/>
  <c r="G116" i="14"/>
  <c r="G117" i="14"/>
  <c r="G118" i="14"/>
  <c r="K9" i="7" a="1"/>
  <c r="K9" i="7"/>
  <c r="H4" i="5"/>
  <c r="H6" i="5"/>
  <c r="H8" i="5"/>
  <c r="H11" i="5"/>
  <c r="H13" i="5"/>
  <c r="H15" i="5"/>
  <c r="H5" i="5"/>
  <c r="H7" i="5"/>
  <c r="H14" i="5"/>
  <c r="H12" i="5"/>
  <c r="D3" i="18"/>
  <c r="D4" i="18"/>
  <c r="D5" i="18"/>
  <c r="D6" i="18"/>
  <c r="D7" i="18"/>
  <c r="D8" i="18"/>
  <c r="D9" i="18"/>
  <c r="D10" i="18"/>
  <c r="D11" i="18"/>
  <c r="D2" i="18"/>
  <c r="H2" i="5"/>
  <c r="H9" i="5"/>
  <c r="H10" i="5"/>
  <c r="E88" i="14"/>
  <c r="E77" i="14"/>
  <c r="E75" i="14"/>
  <c r="E68" i="14"/>
  <c r="E60" i="14"/>
  <c r="E59" i="14"/>
  <c r="E56" i="14"/>
  <c r="E47" i="14"/>
  <c r="E39" i="14"/>
  <c r="E32" i="14"/>
  <c r="E31" i="14"/>
  <c r="E27" i="14"/>
  <c r="E24" i="14"/>
  <c r="E20" i="14"/>
  <c r="E35" i="14"/>
  <c r="E36" i="14"/>
  <c r="E43" i="14"/>
  <c r="E52" i="14"/>
  <c r="E55" i="14"/>
  <c r="E8" i="14"/>
  <c r="E4" i="14"/>
  <c r="E3" i="14"/>
  <c r="E7" i="14"/>
  <c r="E11" i="14"/>
  <c r="E15" i="14"/>
  <c r="E40" i="14"/>
  <c r="E28" i="14"/>
  <c r="K4" i="7" a="1"/>
  <c r="K4" i="7"/>
  <c r="E110" i="14"/>
  <c r="E89" i="14"/>
  <c r="E53" i="14"/>
  <c r="E6" i="14"/>
  <c r="E18" i="14"/>
  <c r="E85" i="14"/>
  <c r="E54" i="14"/>
  <c r="E22" i="14"/>
  <c r="E58" i="14"/>
  <c r="E95" i="14"/>
  <c r="E91" i="14"/>
  <c r="E66" i="14"/>
  <c r="E90" i="14"/>
  <c r="E50" i="14"/>
  <c r="E86" i="14"/>
  <c r="E10" i="14"/>
  <c r="E46" i="14"/>
  <c r="E78" i="14"/>
  <c r="E38" i="14"/>
  <c r="E42" i="14"/>
  <c r="E99" i="14"/>
  <c r="E82" i="14"/>
  <c r="E34" i="14"/>
  <c r="E62" i="14"/>
  <c r="E74" i="14"/>
  <c r="E73" i="14"/>
  <c r="E81" i="14"/>
  <c r="E98" i="14"/>
  <c r="E9" i="14"/>
  <c r="E2" i="14"/>
  <c r="E102" i="14"/>
  <c r="E21" i="14"/>
  <c r="E25" i="14"/>
  <c r="E94" i="14"/>
  <c r="H3" i="7"/>
  <c r="E84" i="14"/>
  <c r="E72" i="14"/>
  <c r="E45" i="14"/>
  <c r="E29" i="14"/>
  <c r="E41" i="14"/>
  <c r="E105" i="14"/>
  <c r="H9" i="7"/>
  <c r="I40" i="7"/>
  <c r="E17" i="14"/>
  <c r="E49" i="14"/>
  <c r="E57" i="14"/>
  <c r="E61" i="14"/>
  <c r="E13" i="14"/>
  <c r="E101" i="14"/>
  <c r="E80" i="14"/>
  <c r="E65" i="14"/>
  <c r="E69" i="14"/>
  <c r="E76" i="14"/>
  <c r="E93" i="14"/>
  <c r="E97" i="14"/>
  <c r="I80" i="7"/>
  <c r="I76" i="7"/>
  <c r="E111" i="14"/>
  <c r="E103" i="14"/>
  <c r="H128" i="7"/>
  <c r="I60" i="7"/>
  <c r="I56" i="7"/>
  <c r="H23" i="7"/>
  <c r="H12" i="7"/>
  <c r="I143" i="7"/>
  <c r="I139" i="7"/>
  <c r="I136" i="7"/>
  <c r="I113" i="7"/>
  <c r="I109" i="7"/>
  <c r="I104" i="7"/>
  <c r="I100" i="7"/>
  <c r="I96" i="7"/>
  <c r="I93" i="7"/>
  <c r="I90" i="7"/>
  <c r="I86" i="7"/>
  <c r="I82" i="7"/>
  <c r="I72" i="7"/>
  <c r="I69" i="7"/>
  <c r="I65" i="7"/>
  <c r="I62" i="7"/>
  <c r="I59" i="7"/>
  <c r="I52" i="7"/>
  <c r="I48" i="7"/>
  <c r="I45" i="7"/>
  <c r="I42" i="7"/>
  <c r="I30" i="7"/>
  <c r="I4" i="7"/>
  <c r="I149" i="7"/>
  <c r="I142" i="7"/>
  <c r="I135" i="7"/>
  <c r="I132" i="7"/>
  <c r="I112" i="7"/>
  <c r="I92" i="7"/>
  <c r="I89" i="7"/>
  <c r="I85" i="7"/>
  <c r="I81" i="7"/>
  <c r="I78" i="7"/>
  <c r="I68" i="7"/>
  <c r="I64" i="7"/>
  <c r="I61" i="7"/>
  <c r="I58" i="7"/>
  <c r="I44" i="7"/>
  <c r="I41" i="7"/>
  <c r="I38" i="7"/>
  <c r="I34" i="7"/>
  <c r="I29" i="7"/>
  <c r="I27" i="7"/>
  <c r="I25" i="7"/>
  <c r="I18" i="7"/>
  <c r="I22" i="7"/>
  <c r="I14" i="7"/>
  <c r="I138" i="7"/>
  <c r="I131" i="7"/>
  <c r="I115" i="7"/>
  <c r="I111" i="7"/>
  <c r="I107" i="7"/>
  <c r="I102" i="7"/>
  <c r="I98" i="7"/>
  <c r="I88" i="7"/>
  <c r="I84" i="7"/>
  <c r="I77" i="7"/>
  <c r="I74" i="7"/>
  <c r="I71" i="7"/>
  <c r="I57" i="7"/>
  <c r="I54" i="7"/>
  <c r="I50" i="7"/>
  <c r="I37" i="7"/>
  <c r="I33" i="7"/>
  <c r="I31" i="7"/>
  <c r="I6" i="7"/>
  <c r="I144" i="7"/>
  <c r="I140" i="7"/>
  <c r="I137" i="7"/>
  <c r="I134" i="7"/>
  <c r="I130" i="7"/>
  <c r="I114" i="7"/>
  <c r="I110" i="7"/>
  <c r="I106" i="7"/>
  <c r="I101" i="7"/>
  <c r="I97" i="7"/>
  <c r="I94" i="7"/>
  <c r="I73" i="7"/>
  <c r="I70" i="7"/>
  <c r="I66" i="7"/>
  <c r="I53" i="7"/>
  <c r="I49" i="7"/>
  <c r="I46" i="7"/>
  <c r="I36" i="7"/>
  <c r="I28" i="7"/>
  <c r="I26" i="7"/>
  <c r="I17" i="7"/>
  <c r="I13" i="7"/>
  <c r="H126" i="7"/>
  <c r="H121" i="7"/>
  <c r="H8" i="7"/>
  <c r="I126" i="7"/>
  <c r="I118" i="7"/>
  <c r="I105" i="7"/>
  <c r="H125" i="7"/>
  <c r="H120" i="7"/>
  <c r="H22" i="7"/>
  <c r="I123" i="7"/>
  <c r="I12" i="7"/>
  <c r="H118" i="7"/>
  <c r="I121" i="7"/>
  <c r="H124" i="7"/>
  <c r="H20" i="7"/>
  <c r="H10" i="7"/>
  <c r="H5" i="7"/>
  <c r="I125" i="7"/>
  <c r="I16" i="7"/>
  <c r="I3" i="7"/>
  <c r="H119" i="7"/>
  <c r="H24" i="7"/>
  <c r="I128" i="7"/>
  <c r="I117" i="7"/>
  <c r="I9" i="7"/>
  <c r="I119" i="7"/>
  <c r="I124" i="7"/>
  <c r="E106" i="14"/>
  <c r="E104" i="14"/>
  <c r="E107" i="14"/>
  <c r="E117" i="14"/>
  <c r="E115" i="14"/>
  <c r="E122" i="14"/>
  <c r="E118" i="14"/>
  <c r="E116" i="14"/>
  <c r="E114" i="14"/>
  <c r="H105" i="7"/>
  <c r="H21" i="7"/>
  <c r="H11" i="7"/>
  <c r="H7" i="7"/>
  <c r="I23" i="7"/>
  <c r="I19" i="7"/>
  <c r="I11" i="7"/>
  <c r="I7" i="7"/>
  <c r="I5" i="7"/>
  <c r="I10" i="7"/>
  <c r="K44" i="7" a="1"/>
  <c r="K44" i="7"/>
  <c r="K6" i="7" a="1"/>
  <c r="K6" i="7"/>
  <c r="H122" i="7"/>
  <c r="E96" i="14"/>
  <c r="E12" i="14"/>
  <c r="K76" i="7" a="1"/>
  <c r="K76" i="7"/>
  <c r="I21" i="7"/>
  <c r="I122" i="7"/>
  <c r="H123" i="7"/>
  <c r="H19" i="7"/>
  <c r="H117" i="7"/>
  <c r="E33" i="14"/>
  <c r="E108" i="14"/>
  <c r="E30" i="14"/>
  <c r="E5" i="14"/>
  <c r="E19" i="14"/>
  <c r="E16" i="14"/>
  <c r="E44" i="14"/>
  <c r="E48" i="14"/>
  <c r="E67" i="14"/>
  <c r="E83" i="14"/>
  <c r="E112" i="14"/>
  <c r="I127" i="7"/>
  <c r="H127" i="7"/>
  <c r="H129" i="7"/>
  <c r="E37" i="14"/>
  <c r="E26" i="14"/>
  <c r="E92" i="14"/>
  <c r="E23" i="14"/>
  <c r="E87" i="14"/>
  <c r="K25" i="7" a="1"/>
  <c r="K25" i="7"/>
  <c r="K5" i="7" a="1"/>
  <c r="K5" i="7"/>
  <c r="K11" i="7" a="1"/>
  <c r="K11" i="7"/>
  <c r="K12" i="7" a="1"/>
  <c r="K12" i="7"/>
  <c r="K24" i="7" a="1"/>
  <c r="K24" i="7"/>
  <c r="K7" i="7" a="1"/>
  <c r="K7" i="7"/>
  <c r="K19" i="7" a="1"/>
  <c r="K19" i="7"/>
  <c r="K8" i="7" a="1"/>
  <c r="K8" i="7"/>
  <c r="K21" i="7" a="1"/>
  <c r="K21" i="7"/>
  <c r="E100" i="14"/>
  <c r="K75" i="7" a="1"/>
  <c r="K75" i="7"/>
  <c r="K43" i="7" a="1"/>
  <c r="K43" i="7"/>
  <c r="K23" i="7" a="1"/>
  <c r="K23" i="7"/>
  <c r="E70" i="14"/>
  <c r="E71" i="14"/>
  <c r="E63" i="14"/>
  <c r="K26" i="7" a="1"/>
  <c r="K26" i="7"/>
  <c r="K10" i="7" a="1"/>
  <c r="K10" i="7"/>
  <c r="K41" i="7" a="1"/>
  <c r="K41" i="7"/>
  <c r="K20" i="7" a="1"/>
  <c r="K20" i="7"/>
  <c r="K27" i="7" a="1"/>
  <c r="K27" i="7"/>
  <c r="E79" i="14"/>
  <c r="K22" i="7" a="1"/>
  <c r="K22" i="7"/>
  <c r="K42" i="7" a="1"/>
  <c r="K42" i="7"/>
  <c r="K84" i="7" a="1"/>
  <c r="K84" i="7"/>
  <c r="K30" i="7" a="1"/>
  <c r="K30" i="7"/>
  <c r="K31" i="7" a="1"/>
  <c r="K31" i="7"/>
  <c r="K77" i="7" a="1"/>
  <c r="K77" i="7"/>
  <c r="E64" i="14"/>
  <c r="E51" i="14"/>
  <c r="E113" i="14"/>
  <c r="E109" i="14"/>
  <c r="J129" i="7"/>
  <c r="J118" i="7"/>
  <c r="J23" i="7"/>
  <c r="J125" i="7"/>
  <c r="J122" i="7"/>
  <c r="J120" i="7"/>
  <c r="J17" i="7"/>
  <c r="J12" i="7"/>
  <c r="J7" i="7"/>
</calcChain>
</file>

<file path=xl/sharedStrings.xml><?xml version="1.0" encoding="utf-8"?>
<sst xmlns="http://schemas.openxmlformats.org/spreadsheetml/2006/main" count="657" uniqueCount="392">
  <si>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</si>
  <si>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</si>
  <si>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</si>
  <si>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</si>
  <si>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</si>
  <si>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</si>
  <si>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</si>
  <si>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</si>
  <si>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</si>
  <si>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</si>
  <si>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</si>
  <si>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</si>
  <si>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</si>
  <si>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</si>
  <si>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</si>
  <si>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</si>
  <si>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</si>
  <si>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</si>
  <si>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</si>
  <si>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</si>
  <si>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</si>
  <si>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</si>
  <si>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</si>
  <si>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</si>
  <si>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</si>
  <si>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</si>
  <si>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</si>
  <si>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</si>
  <si>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</si>
  <si>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</si>
  <si>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</si>
  <si>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</si>
  <si>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</si>
  <si>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</si>
  <si>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</si>
  <si>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</si>
  <si>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</si>
  <si>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</si>
  <si>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</si>
  <si>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</si>
  <si>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</si>
  <si>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</si>
  <si>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</si>
  <si>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</si>
  <si>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</si>
  <si>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</si>
  <si>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</si>
  <si>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</si>
  <si>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</si>
  <si>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</si>
  <si>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</si>
  <si>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</si>
  <si>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</si>
  <si>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</si>
  <si>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</si>
  <si>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</si>
  <si>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</si>
  <si>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</si>
  <si>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</si>
  <si>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</si>
  <si>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</si>
  <si>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</si>
  <si>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</si>
  <si>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</si>
  <si>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</si>
  <si>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</si>
  <si>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</si>
  <si>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</si>
  <si>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</si>
  <si>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</si>
  <si>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</si>
  <si>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</si>
  <si>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</si>
  <si>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</si>
  <si>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</si>
  <si>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</si>
  <si>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</si>
  <si>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</si>
  <si>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</si>
  <si>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</si>
  <si>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</si>
  <si>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</si>
  <si>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</si>
  <si>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</si>
  <si>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</si>
  <si>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</si>
  <si>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</si>
  <si>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</si>
  <si>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</si>
  <si>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</si>
  <si>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</si>
  <si>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</si>
  <si>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</si>
  <si>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</si>
  <si>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</si>
  <si>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</si>
  <si>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</si>
  <si>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</si>
  <si>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</si>
  <si>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</si>
  <si>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</si>
  <si>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</si>
  <si>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</si>
  <si>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</si>
  <si>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</si>
  <si>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</si>
  <si>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</si>
  <si>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</si>
  <si>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</si>
  <si>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</si>
  <si>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</si>
  <si>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</si>
  <si>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</si>
  <si>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</si>
  <si>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</si>
  <si>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</si>
  <si>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</si>
  <si>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</si>
  <si>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</si>
  <si>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</si>
  <si>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</si>
  <si>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</si>
  <si>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</si>
  <si>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</si>
  <si>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</si>
  <si>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</si>
  <si>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</si>
  <si>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</si>
  <si>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</si>
  <si>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</si>
  <si>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</si>
  <si>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</si>
  <si>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</si>
  <si>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</si>
  <si>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</si>
  <si>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</si>
  <si>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</si>
  <si>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</si>
  <si>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</si>
  <si>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</si>
  <si>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</si>
  <si>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</si>
  <si>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</si>
  <si>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</si>
  <si>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</si>
  <si>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</si>
  <si>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</si>
  <si>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</si>
  <si>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</si>
  <si>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</si>
  <si>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</si>
  <si>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</si>
  <si>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</si>
  <si>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</si>
  <si>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</si>
  <si>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</si>
  <si>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</si>
  <si>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</si>
  <si>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</si>
  <si>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</si>
  <si>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</si>
  <si>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</si>
  <si>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</si>
  <si>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</si>
  <si>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</si>
  <si>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</si>
  <si>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</si>
  <si>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</si>
  <si>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</si>
  <si>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</si>
  <si>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</si>
  <si>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</si>
  <si>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</si>
  <si>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</si>
  <si>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</si>
  <si>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</si>
  <si>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</si>
  <si>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</si>
  <si>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</si>
  <si>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</si>
  <si>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</si>
  <si>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</si>
  <si>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</si>
  <si>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</si>
  <si>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</si>
  <si>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</si>
  <si>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</si>
  <si>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</si>
  <si>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</si>
  <si>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</si>
  <si>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</si>
  <si>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</si>
  <si>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</si>
  <si>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</si>
  <si>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</si>
  <si>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</si>
  <si>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</si>
  <si>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</si>
  <si>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</si>
  <si>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</si>
  <si>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</si>
  <si>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</si>
  <si>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</si>
  <si>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</si>
  <si>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</si>
  <si>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</si>
  <si>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</si>
  <si>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</si>
  <si>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</si>
  <si>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</si>
  <si>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</si>
  <si>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</si>
  <si>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</si>
  <si>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</si>
  <si>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</si>
  <si>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</si>
  <si>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</si>
  <si>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</si>
  <si>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</si>
  <si>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</si>
  <si>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</si>
  <si>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</si>
  <si>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0.01,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</si>
  <si>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</si>
  <si>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</si>
  <si>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</si>
  <si>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</si>
  <si>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</si>
  <si>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</si>
  <si>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</si>
  <si>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</si>
  <si>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</si>
  <si>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</si>
  <si>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</si>
  <si>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</si>
  <si>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</si>
  <si>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</si>
  <si>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</si>
  <si>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</si>
  <si>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</si>
  <si>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</si>
  <si>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</si>
  <si>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</si>
  <si>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</si>
  <si>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</si>
  <si>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</si>
  <si>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</si>
  <si>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贝壳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</si>
  <si>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</si>
  <si>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</si>
  <si>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</si>
  <si>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</si>
  <si>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</si>
  <si>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</si>
  <si>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</si>
  <si>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</si>
  <si>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</si>
  <si>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</si>
  <si>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</si>
  <si>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</si>
  <si>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</si>
  <si>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</si>
  <si>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</si>
  <si>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</si>
  <si>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</si>
  <si>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</si>
  <si>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</si>
  <si>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宝箱鱼</t>
    <phoneticPr fontId="1" type="noConversion"/>
  </si>
  <si>
    <t>118,</t>
    <phoneticPr fontId="1" type="noConversion"/>
  </si>
  <si>
    <t>119,</t>
  </si>
  <si>
    <t>120,</t>
  </si>
  <si>
    <t>0.5,455,1,240,1.5,155,2,150</t>
    <phoneticPr fontId="1" type="noConversion"/>
  </si>
  <si>
    <t>0.1,527,0,0,0,0,2,473</t>
    <phoneticPr fontId="1" type="noConversion"/>
  </si>
  <si>
    <t>黄金龙</t>
    <phoneticPr fontId="1" type="noConversion"/>
  </si>
  <si>
    <t>121,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</si>
  <si>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</si>
  <si>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</si>
  <si>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</si>
  <si>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</si>
  <si>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</si>
  <si>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</si>
  <si>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</si>
  <si>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</si>
  <si>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</si>
  <si>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</si>
  <si>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</si>
  <si>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</si>
  <si>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</si>
  <si>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box_fish_activity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</si>
  <si>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</si>
  <si>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</si>
  <si>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</si>
  <si>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</si>
  <si>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60,10,10</t>
    <phoneticPr fontId="1" type="noConversion"/>
  </si>
  <si>
    <t>贝壳鱼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</si>
  <si>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</si>
  <si>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</si>
  <si>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</si>
  <si>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</si>
  <si>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</si>
  <si>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</si>
  <si>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</si>
  <si>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</si>
  <si>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</si>
  <si>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</si>
  <si>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</si>
  <si>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</si>
  <si>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</si>
  <si>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guding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</si>
  <si>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</si>
  <si>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</si>
  <si>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</si>
  <si>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</si>
  <si>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</si>
  <si>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</si>
  <si>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</si>
  <si>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</si>
  <si>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</si>
  <si>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</si>
  <si>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乌贼</t>
    <phoneticPr fontId="1" type="noConversion"/>
  </si>
  <si>
    <t>幸运宝箱</t>
    <phoneticPr fontId="1" type="noConversion"/>
  </si>
  <si>
    <t>fish_yutu_random_match</t>
    <phoneticPr fontId="1" type="noConversion"/>
  </si>
  <si>
    <t>fish_yutu_gd_match</t>
    <phoneticPr fontId="1" type="noConversion"/>
  </si>
  <si>
    <t>宝箱鱼</t>
    <phoneticPr fontId="1" type="noConversion"/>
  </si>
  <si>
    <t>127,</t>
  </si>
  <si>
    <t>128,</t>
  </si>
  <si>
    <t>100,</t>
    <phoneticPr fontId="1" type="noConversion"/>
  </si>
  <si>
    <t>yuchao|鱼潮</t>
    <phoneticPr fontId="1" type="noConversion"/>
  </si>
  <si>
    <t>yc_weight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</si>
  <si>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</si>
  <si>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</si>
  <si>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</si>
  <si>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</si>
  <si>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1,</t>
    <phoneticPr fontId="1" type="noConversion"/>
  </si>
  <si>
    <t>ID</t>
    <phoneticPr fontId="1" type="noConversion"/>
  </si>
  <si>
    <t>match_award</t>
    <phoneticPr fontId="1" type="noConversion"/>
  </si>
  <si>
    <t>map_id</t>
    <phoneticPr fontId="1" type="noConversion"/>
  </si>
  <si>
    <t>快速射击</t>
    <phoneticPr fontId="1" type="noConversion"/>
  </si>
  <si>
    <t>activity</t>
    <phoneticPr fontId="1" type="noConversion"/>
  </si>
  <si>
    <t>activity_weight</t>
    <phoneticPr fontId="1" type="noConversion"/>
  </si>
  <si>
    <t>20,21,22,23,24,25</t>
    <phoneticPr fontId="1" type="noConversion"/>
  </si>
  <si>
    <t>enter_bag|掉落后是否进入背包</t>
    <phoneticPr fontId="1" type="noConversion"/>
  </si>
  <si>
    <t>60,</t>
    <phoneticPr fontId="1" type="noConversion"/>
  </si>
  <si>
    <t>60,</t>
    <phoneticPr fontId="1" type="noConversion"/>
  </si>
  <si>
    <t>3,</t>
    <phoneticPr fontId="1" type="noConversion"/>
  </si>
  <si>
    <t>123,</t>
    <phoneticPr fontId="1" type="noConversion"/>
  </si>
  <si>
    <t>124,</t>
    <phoneticPr fontId="1" type="noConversion"/>
  </si>
  <si>
    <t>125,</t>
    <phoneticPr fontId="1" type="noConversion"/>
  </si>
  <si>
    <t>60,2</t>
    <phoneticPr fontId="1" type="noConversion"/>
  </si>
  <si>
    <t>activity</t>
    <phoneticPr fontId="1" type="noConversion"/>
  </si>
  <si>
    <t>次级全屏炸弹</t>
    <phoneticPr fontId="1" type="noConversion"/>
  </si>
  <si>
    <t>次级闪电</t>
    <phoneticPr fontId="1" type="noConversion"/>
  </si>
  <si>
    <t>顶级闪电</t>
    <phoneticPr fontId="1" type="noConversion"/>
  </si>
  <si>
    <t>顶级全屏炸弹</t>
    <phoneticPr fontId="1" type="noConversion"/>
  </si>
  <si>
    <t>金枪鱼</t>
    <phoneticPr fontId="1" type="noConversion"/>
  </si>
  <si>
    <t>1,3000,</t>
    <phoneticPr fontId="1" type="noConversion"/>
  </si>
  <si>
    <t>幸运宝箱</t>
    <phoneticPr fontId="1" type="noConversion"/>
  </si>
  <si>
    <t>福利闪电灯笼</t>
    <phoneticPr fontId="1" type="noConversion"/>
  </si>
  <si>
    <t>福利炸弹龟</t>
    <phoneticPr fontId="1" type="noConversion"/>
  </si>
  <si>
    <t>福利炸弹黄鱼</t>
    <phoneticPr fontId="1" type="noConversion"/>
  </si>
  <si>
    <t>200,</t>
    <phoneticPr fontId="1" type="noConversion"/>
  </si>
  <si>
    <t>福利炸弹蓝鱼</t>
    <phoneticPr fontId="1" type="noConversion"/>
  </si>
  <si>
    <t>炸弹大海星</t>
    <phoneticPr fontId="1" type="noConversion"/>
  </si>
  <si>
    <t>闪电大海星</t>
    <phoneticPr fontId="1" type="noConversion"/>
  </si>
  <si>
    <t>9,</t>
    <phoneticPr fontId="1" type="noConversion"/>
  </si>
  <si>
    <t>126,</t>
    <phoneticPr fontId="1" type="noConversion"/>
  </si>
  <si>
    <t>123,</t>
    <phoneticPr fontId="1" type="noConversion"/>
  </si>
  <si>
    <t>124,</t>
    <phoneticPr fontId="1" type="noConversion"/>
  </si>
  <si>
    <t>125,</t>
    <phoneticPr fontId="1" type="noConversion"/>
  </si>
  <si>
    <t>50,</t>
    <phoneticPr fontId="1" type="noConversion"/>
  </si>
  <si>
    <t>26,27,28,29,30,32,</t>
    <phoneticPr fontId="1" type="noConversion"/>
  </si>
  <si>
    <t>300,</t>
    <phoneticPr fontId="1" type="noConversion"/>
  </si>
  <si>
    <t>150,</t>
    <phoneticPr fontId="1" type="noConversion"/>
  </si>
  <si>
    <t>1,300,</t>
    <phoneticPr fontId="1" type="noConversion"/>
  </si>
  <si>
    <t>1,300,</t>
    <phoneticPr fontId="1" type="noConversion"/>
  </si>
  <si>
    <t>num|随机次数</t>
    <phoneticPr fontId="1" type="noConversion"/>
  </si>
  <si>
    <t>8,</t>
    <phoneticPr fontId="1" type="noConversion"/>
  </si>
  <si>
    <t>only_ranking|只获得赢金</t>
    <phoneticPr fontId="1" type="noConversion"/>
  </si>
  <si>
    <t>1,</t>
    <phoneticPr fontId="1" type="noConversion"/>
  </si>
  <si>
    <t>1,</t>
    <phoneticPr fontId="1" type="noConversion"/>
  </si>
  <si>
    <t>51,</t>
    <phoneticPr fontId="1" type="noConversion"/>
  </si>
  <si>
    <t>1,1,1,5,5,1,</t>
    <phoneticPr fontId="1" type="noConversion"/>
  </si>
  <si>
    <t>1,5,1,1,1,5,</t>
    <phoneticPr fontId="1" type="noConversion"/>
  </si>
  <si>
    <t>2,3,4,5,6,</t>
    <phoneticPr fontId="1" type="noConversion"/>
  </si>
  <si>
    <t>3,3,1,1,1,</t>
    <phoneticPr fontId="1" type="noConversion"/>
  </si>
  <si>
    <t>3,3,3,3,1,1,1,</t>
    <phoneticPr fontId="1" type="noConversion"/>
  </si>
  <si>
    <t>4,5,6,11,7,8,10,</t>
    <phoneticPr fontId="1" type="noConversion"/>
  </si>
  <si>
    <t>11,7,8,10,</t>
    <phoneticPr fontId="1" type="noConversion"/>
  </si>
  <si>
    <t>1,3,3,3,</t>
    <phoneticPr fontId="1" type="noConversion"/>
  </si>
  <si>
    <t>12,</t>
    <phoneticPr fontId="1" type="noConversion"/>
  </si>
  <si>
    <t>1,</t>
    <phoneticPr fontId="1" type="noConversion"/>
  </si>
  <si>
    <t>126,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</si>
</sst>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4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4"/>
  <sheetViews>
    <sheetView topLeftCell="A22" workbookViewId="0">
      <selection activeCell="D54" sqref="D54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30</v>
      </c>
      <c r="B1" s="1" t="s">
        <v>31</v>
      </c>
      <c r="C1" s="1" t="s">
        <v>32</v>
      </c>
      <c r="D1" s="1" t="s">
        <v>33</v>
      </c>
      <c r="E1" s="1" t="s">
        <v>239</v>
      </c>
    </row>
    <row r="2" spans="1:5" x14ac:dyDescent="0.2">
      <c r="A2">
        <v>1</v>
      </c>
      <c r="B2" s="6">
        <v>5.0000000000000001E-3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5.0000000000000001E-3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5.0000000000000001E-3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5.0000000000000001E-3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5.0000000000000001E-3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5.0000000000000001E-3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5.0000000000000001E-3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5.0000000000000001E-3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5.0000000000000001E-3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5.0000000000000001E-3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1.4999999999999999E-2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1.4999999999999999E-2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1.4999999999999999E-2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1.4999999999999999E-2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1.4999999999999999E-2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1.4999999999999999E-2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1.4999999999999999E-2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1.4999999999999999E-2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1.4999999999999999E-2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1.4999999999999999E-2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0.02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0.02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0.02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0.02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0.02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0.02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0.02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0.02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0.02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0.02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0.03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0.03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0.03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0.03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0.03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0.03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0.03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0.03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0.03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0.03</v>
      </c>
      <c r="C41">
        <v>0.16</v>
      </c>
      <c r="D41" s="7">
        <v>0.03</v>
      </c>
      <c r="E41">
        <v>-1</v>
      </c>
    </row>
    <row r="42" spans="1:5" x14ac:dyDescent="0.2">
      <c r="A42">
        <v>41</v>
      </c>
      <c r="B42" s="6">
        <v>0</v>
      </c>
      <c r="C42">
        <v>0.16</v>
      </c>
      <c r="D42" s="7">
        <v>0.03</v>
      </c>
      <c r="E42">
        <v>-1</v>
      </c>
    </row>
    <row r="43" spans="1:5" x14ac:dyDescent="0.2">
      <c r="A43">
        <v>42</v>
      </c>
      <c r="B43" s="6">
        <v>5.0000000000000001E-3</v>
      </c>
      <c r="C43">
        <v>0.16</v>
      </c>
      <c r="D43" s="7">
        <v>0.03</v>
      </c>
      <c r="E43">
        <v>-1</v>
      </c>
    </row>
    <row r="44" spans="1:5" x14ac:dyDescent="0.2">
      <c r="A44">
        <v>43</v>
      </c>
      <c r="B44" s="6">
        <v>1.4999999999999999E-2</v>
      </c>
      <c r="C44">
        <v>0.16</v>
      </c>
      <c r="D44" s="7">
        <v>0.03</v>
      </c>
      <c r="E44">
        <v>-1</v>
      </c>
    </row>
    <row r="45" spans="1:5" x14ac:dyDescent="0.2">
      <c r="A45">
        <v>44</v>
      </c>
      <c r="B45" s="6">
        <v>0.03</v>
      </c>
      <c r="C45">
        <v>0.16</v>
      </c>
      <c r="D45" s="7">
        <v>0.03</v>
      </c>
      <c r="E45">
        <v>-1</v>
      </c>
    </row>
    <row r="46" spans="1:5" x14ac:dyDescent="0.2">
      <c r="A46">
        <v>45</v>
      </c>
      <c r="B46" s="6">
        <v>0</v>
      </c>
      <c r="C46">
        <v>0.32</v>
      </c>
      <c r="D46" s="7">
        <v>0.03</v>
      </c>
      <c r="E46">
        <v>-1</v>
      </c>
    </row>
    <row r="47" spans="1:5" x14ac:dyDescent="0.2">
      <c r="A47">
        <v>46</v>
      </c>
      <c r="B47" s="6">
        <v>0</v>
      </c>
      <c r="C47">
        <v>0.32</v>
      </c>
      <c r="D47" s="7">
        <v>0.03</v>
      </c>
      <c r="E47">
        <v>-1</v>
      </c>
    </row>
    <row r="48" spans="1:5" x14ac:dyDescent="0.2">
      <c r="A48">
        <v>47</v>
      </c>
      <c r="B48" s="6">
        <v>0</v>
      </c>
      <c r="C48">
        <v>0.32</v>
      </c>
      <c r="D48" s="7">
        <v>0.03</v>
      </c>
      <c r="E48">
        <v>-1</v>
      </c>
    </row>
    <row r="49" spans="1:5" x14ac:dyDescent="0.2">
      <c r="A49">
        <v>48</v>
      </c>
      <c r="B49" s="6">
        <v>0</v>
      </c>
      <c r="C49">
        <v>0.32</v>
      </c>
      <c r="D49" s="7">
        <v>0.03</v>
      </c>
      <c r="E49">
        <v>-1</v>
      </c>
    </row>
    <row r="50" spans="1:5" x14ac:dyDescent="0.2">
      <c r="A50">
        <v>49</v>
      </c>
      <c r="B50" s="6">
        <v>0</v>
      </c>
      <c r="C50">
        <v>0.32</v>
      </c>
      <c r="D50" s="7">
        <v>0.03</v>
      </c>
      <c r="E50">
        <v>-1</v>
      </c>
    </row>
    <row r="51" spans="1:5" x14ac:dyDescent="0.2">
      <c r="A51">
        <v>50</v>
      </c>
      <c r="B51" s="6">
        <v>0</v>
      </c>
      <c r="C51">
        <v>0.32</v>
      </c>
      <c r="D51" s="7">
        <v>0.03</v>
      </c>
      <c r="E51">
        <v>-1</v>
      </c>
    </row>
    <row r="52" spans="1:5" x14ac:dyDescent="0.2">
      <c r="A52">
        <v>51</v>
      </c>
      <c r="B52" s="6">
        <v>0</v>
      </c>
      <c r="C52">
        <v>0.32</v>
      </c>
      <c r="D52" s="7">
        <v>0.03</v>
      </c>
      <c r="E52">
        <v>-1</v>
      </c>
    </row>
    <row r="53" spans="1:5" x14ac:dyDescent="0.2">
      <c r="A53">
        <v>52</v>
      </c>
      <c r="B53" s="6">
        <v>0</v>
      </c>
      <c r="C53">
        <v>0.32</v>
      </c>
      <c r="D53" s="7">
        <v>0.03</v>
      </c>
      <c r="E53">
        <v>-1</v>
      </c>
    </row>
    <row r="54" spans="1:5" x14ac:dyDescent="0.2">
      <c r="A54">
        <v>53</v>
      </c>
      <c r="B54" s="6">
        <v>0</v>
      </c>
      <c r="C54">
        <v>0.32</v>
      </c>
      <c r="D54" s="7">
        <v>0.03</v>
      </c>
      <c r="E54">
        <v>-1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29" sqref="C29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240</v>
      </c>
      <c r="B1" s="2" t="s">
        <v>241</v>
      </c>
      <c r="C1" s="2" t="s">
        <v>242</v>
      </c>
      <c r="D1" s="2" t="s">
        <v>243</v>
      </c>
      <c r="E1" s="2" t="s">
        <v>244</v>
      </c>
      <c r="F1" s="2" t="s">
        <v>245</v>
      </c>
      <c r="G1" s="2" t="s">
        <v>246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I36" sqref="I36"/>
    </sheetView>
  </sheetViews>
  <sheetFormatPr defaultColWidth="8.875" defaultRowHeight="14.25" x14ac:dyDescent="0.2"/>
  <sheetData>
    <row r="1" spans="1:11" ht="54" x14ac:dyDescent="0.2">
      <c r="A1" s="1" t="s">
        <v>24</v>
      </c>
      <c r="B1" s="1" t="s">
        <v>34</v>
      </c>
      <c r="C1" s="1" t="s">
        <v>35</v>
      </c>
      <c r="D1" s="1" t="s">
        <v>36</v>
      </c>
      <c r="E1" s="1" t="s">
        <v>37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C3" sqref="C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24</v>
      </c>
      <c r="B1" s="1" t="s">
        <v>297</v>
      </c>
      <c r="C1" s="1" t="s">
        <v>301</v>
      </c>
      <c r="D1" s="1" t="s">
        <v>302</v>
      </c>
      <c r="E1" s="1" t="s">
        <v>311</v>
      </c>
      <c r="F1" s="1" t="s">
        <v>313</v>
      </c>
      <c r="G1" s="1" t="s">
        <v>310</v>
      </c>
    </row>
    <row r="2" spans="1:7" x14ac:dyDescent="0.2">
      <c r="A2" s="2">
        <v>1</v>
      </c>
      <c r="B2" s="2" t="s">
        <v>306</v>
      </c>
      <c r="C2" s="2">
        <v>1</v>
      </c>
      <c r="D2" s="2">
        <v>1</v>
      </c>
      <c r="E2" s="2">
        <v>9999999999</v>
      </c>
      <c r="F2" s="2">
        <v>1</v>
      </c>
      <c r="G2" s="2">
        <v>10</v>
      </c>
    </row>
    <row r="3" spans="1:7" x14ac:dyDescent="0.2">
      <c r="A3" s="2">
        <v>2</v>
      </c>
      <c r="B3" s="2" t="s">
        <v>307</v>
      </c>
      <c r="C3" s="2">
        <v>9999</v>
      </c>
      <c r="D3" s="2">
        <v>9999</v>
      </c>
      <c r="E3" s="2">
        <v>9999999999</v>
      </c>
      <c r="F3" s="2">
        <v>500</v>
      </c>
      <c r="G3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3"/>
  <sheetViews>
    <sheetView workbookViewId="0">
      <selection activeCell="C6" sqref="C6"/>
    </sheetView>
  </sheetViews>
  <sheetFormatPr defaultColWidth="8.875" defaultRowHeight="14.25" x14ac:dyDescent="0.2"/>
  <cols>
    <col min="2" max="2" width="19.375" customWidth="1"/>
    <col min="7" max="7" width="14.875" customWidth="1"/>
    <col min="9" max="9" width="11.5" customWidth="1"/>
    <col min="10" max="10" width="11.625" customWidth="1"/>
  </cols>
  <sheetData>
    <row r="1" spans="1:12" s="2" customFormat="1" ht="38.25" customHeight="1" x14ac:dyDescent="0.2">
      <c r="A1" s="1" t="s">
        <v>24</v>
      </c>
      <c r="B1" s="1" t="s">
        <v>295</v>
      </c>
      <c r="C1" s="1" t="s">
        <v>296</v>
      </c>
      <c r="D1" s="1" t="s">
        <v>298</v>
      </c>
      <c r="E1" s="1" t="s">
        <v>299</v>
      </c>
      <c r="F1" s="1" t="s">
        <v>300</v>
      </c>
      <c r="G1" s="1" t="s">
        <v>301</v>
      </c>
      <c r="H1" s="1" t="s">
        <v>303</v>
      </c>
      <c r="I1" s="1" t="s">
        <v>304</v>
      </c>
      <c r="J1" s="1" t="s">
        <v>312</v>
      </c>
      <c r="K1" s="1" t="s">
        <v>305</v>
      </c>
      <c r="L1" s="1"/>
    </row>
    <row r="2" spans="1:12" x14ac:dyDescent="0.2">
      <c r="A2" s="2">
        <v>1</v>
      </c>
      <c r="B2" s="2" t="s">
        <v>321</v>
      </c>
      <c r="C2" s="2">
        <v>1</v>
      </c>
      <c r="D2" t="s">
        <v>306</v>
      </c>
      <c r="E2" s="2">
        <v>13000</v>
      </c>
      <c r="F2" s="2">
        <v>13000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322</v>
      </c>
      <c r="C3" s="2">
        <v>1</v>
      </c>
      <c r="D3" t="s">
        <v>308</v>
      </c>
      <c r="E3" s="2">
        <v>910</v>
      </c>
      <c r="F3" s="2">
        <v>910</v>
      </c>
      <c r="G3" s="2">
        <v>0</v>
      </c>
      <c r="H3" s="2">
        <v>9999999</v>
      </c>
      <c r="I3" s="2">
        <v>9999999</v>
      </c>
      <c r="J3" s="2">
        <v>1</v>
      </c>
      <c r="K3" s="2">
        <v>0</v>
      </c>
    </row>
    <row r="4" spans="1:12" x14ac:dyDescent="0.2">
      <c r="A4" s="2">
        <v>3</v>
      </c>
      <c r="B4" s="2" t="s">
        <v>322</v>
      </c>
      <c r="C4" s="2">
        <v>2</v>
      </c>
      <c r="D4" t="s">
        <v>307</v>
      </c>
      <c r="E4" s="2">
        <v>910</v>
      </c>
      <c r="F4" s="2">
        <v>910</v>
      </c>
      <c r="G4" s="2">
        <v>0</v>
      </c>
      <c r="H4" s="2">
        <v>9999999</v>
      </c>
      <c r="I4" s="2">
        <v>9999999</v>
      </c>
      <c r="J4" s="2">
        <v>1</v>
      </c>
      <c r="K4" s="2">
        <v>0</v>
      </c>
    </row>
    <row r="5" spans="1:12" x14ac:dyDescent="0.2">
      <c r="A5" s="2">
        <v>4</v>
      </c>
      <c r="B5" s="2" t="s">
        <v>322</v>
      </c>
      <c r="C5" s="2">
        <v>3</v>
      </c>
      <c r="D5" t="s">
        <v>308</v>
      </c>
      <c r="E5" s="2">
        <v>970</v>
      </c>
      <c r="F5" s="2">
        <v>970</v>
      </c>
      <c r="G5" s="4">
        <v>0</v>
      </c>
      <c r="H5" s="2">
        <v>9999999</v>
      </c>
      <c r="I5" s="2">
        <v>9999999</v>
      </c>
      <c r="J5" s="2">
        <v>1</v>
      </c>
      <c r="K5" s="2">
        <v>0</v>
      </c>
    </row>
    <row r="6" spans="1:12" x14ac:dyDescent="0.2">
      <c r="A6" s="2">
        <v>5</v>
      </c>
      <c r="B6" s="2" t="s">
        <v>322</v>
      </c>
      <c r="C6" s="2">
        <v>4</v>
      </c>
      <c r="D6" t="s">
        <v>307</v>
      </c>
      <c r="E6" s="2">
        <v>970</v>
      </c>
      <c r="F6" s="2">
        <v>970</v>
      </c>
      <c r="G6" s="4">
        <v>0</v>
      </c>
      <c r="H6" s="2">
        <v>9999999</v>
      </c>
      <c r="I6" s="2">
        <v>9999999</v>
      </c>
      <c r="J6" s="2">
        <v>1</v>
      </c>
      <c r="K6" s="2">
        <v>0</v>
      </c>
    </row>
    <row r="7" spans="1:12" x14ac:dyDescent="0.2">
      <c r="A7" s="2">
        <v>6</v>
      </c>
      <c r="B7" s="2" t="s">
        <v>322</v>
      </c>
      <c r="C7" s="2">
        <v>5</v>
      </c>
      <c r="D7" t="s">
        <v>307</v>
      </c>
      <c r="E7" s="2">
        <v>970</v>
      </c>
      <c r="F7" s="2">
        <v>970</v>
      </c>
      <c r="G7" s="4">
        <v>0</v>
      </c>
      <c r="H7" s="2">
        <v>9999999</v>
      </c>
      <c r="I7" s="2">
        <v>9999999</v>
      </c>
      <c r="J7" s="2">
        <v>1</v>
      </c>
      <c r="K7" s="2">
        <v>0</v>
      </c>
    </row>
    <row r="8" spans="1:12" x14ac:dyDescent="0.2">
      <c r="A8" s="2">
        <v>7</v>
      </c>
      <c r="B8" s="2" t="s">
        <v>322</v>
      </c>
      <c r="C8" s="2">
        <v>6</v>
      </c>
      <c r="D8" t="s">
        <v>309</v>
      </c>
      <c r="E8" s="2">
        <v>900</v>
      </c>
      <c r="F8" s="2">
        <v>900</v>
      </c>
      <c r="G8" s="4">
        <v>0</v>
      </c>
      <c r="H8" s="2">
        <v>9999999</v>
      </c>
      <c r="I8" s="2">
        <v>9999999</v>
      </c>
      <c r="J8" s="2">
        <v>1</v>
      </c>
      <c r="K8" s="2">
        <v>0</v>
      </c>
    </row>
    <row r="9" spans="1:12" x14ac:dyDescent="0.2">
      <c r="A9" s="2">
        <v>8</v>
      </c>
      <c r="B9" s="2" t="s">
        <v>322</v>
      </c>
      <c r="C9" s="2">
        <v>7</v>
      </c>
      <c r="D9" t="s">
        <v>307</v>
      </c>
      <c r="E9" s="2">
        <v>915</v>
      </c>
      <c r="F9" s="2">
        <v>915</v>
      </c>
      <c r="G9" s="4">
        <v>0</v>
      </c>
      <c r="H9" s="2">
        <v>9999999</v>
      </c>
      <c r="I9" s="2">
        <v>9999999</v>
      </c>
      <c r="J9" s="2">
        <v>1</v>
      </c>
      <c r="K9" s="2">
        <v>0</v>
      </c>
    </row>
    <row r="10" spans="1:12" x14ac:dyDescent="0.2">
      <c r="A10" s="2">
        <v>9</v>
      </c>
      <c r="B10" s="2" t="s">
        <v>322</v>
      </c>
      <c r="C10" s="2">
        <v>8</v>
      </c>
      <c r="D10" t="s">
        <v>307</v>
      </c>
      <c r="E10" s="2">
        <v>1670</v>
      </c>
      <c r="F10" s="2">
        <v>1670</v>
      </c>
      <c r="G10" s="4">
        <v>0</v>
      </c>
      <c r="H10" s="2">
        <v>9999999</v>
      </c>
      <c r="I10" s="2">
        <v>9999999</v>
      </c>
      <c r="J10" s="2">
        <v>1</v>
      </c>
      <c r="K10" s="2">
        <v>0</v>
      </c>
    </row>
    <row r="11" spans="1:12" x14ac:dyDescent="0.2">
      <c r="A11" s="2">
        <v>10</v>
      </c>
      <c r="B11" s="2" t="s">
        <v>322</v>
      </c>
      <c r="C11" s="2">
        <v>9</v>
      </c>
      <c r="D11" t="s">
        <v>307</v>
      </c>
      <c r="E11" s="2">
        <v>1200</v>
      </c>
      <c r="F11" s="2">
        <v>1200</v>
      </c>
      <c r="G11" s="4">
        <v>0</v>
      </c>
      <c r="H11" s="2">
        <v>9999999</v>
      </c>
      <c r="I11" s="2">
        <v>9999999</v>
      </c>
      <c r="J11" s="2">
        <v>1</v>
      </c>
      <c r="K11" s="2">
        <v>0</v>
      </c>
    </row>
    <row r="12" spans="1:12" x14ac:dyDescent="0.2">
      <c r="A12" s="2">
        <v>11</v>
      </c>
      <c r="B12" s="2" t="s">
        <v>322</v>
      </c>
      <c r="C12" s="2">
        <v>10</v>
      </c>
      <c r="D12" t="s">
        <v>307</v>
      </c>
      <c r="E12" s="2">
        <v>965</v>
      </c>
      <c r="F12" s="2">
        <v>965</v>
      </c>
      <c r="G12" s="4">
        <v>0</v>
      </c>
      <c r="H12" s="2">
        <v>9999999</v>
      </c>
      <c r="I12" s="2">
        <v>9999999</v>
      </c>
      <c r="J12" s="2">
        <v>1</v>
      </c>
      <c r="K12" s="2">
        <v>0</v>
      </c>
    </row>
    <row r="13" spans="1:12" x14ac:dyDescent="0.2">
      <c r="A13" s="2">
        <v>12</v>
      </c>
      <c r="B13" s="2" t="s">
        <v>322</v>
      </c>
      <c r="C13" s="2">
        <v>11</v>
      </c>
      <c r="D13" t="s">
        <v>307</v>
      </c>
      <c r="E13" s="2">
        <v>1000</v>
      </c>
      <c r="F13" s="2">
        <v>1000</v>
      </c>
      <c r="G13" s="4">
        <v>0</v>
      </c>
      <c r="H13" s="2">
        <v>9999999</v>
      </c>
      <c r="I13" s="2">
        <v>9999999</v>
      </c>
      <c r="J13" s="2">
        <v>1</v>
      </c>
      <c r="K13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59"/>
  <sheetViews>
    <sheetView tabSelected="1" workbookViewId="0">
      <pane ySplit="1" topLeftCell="A136" activePane="bottomLeft" state="frozen"/>
      <selection pane="bottomLeft" activeCell="J148" sqref="J148"/>
    </sheetView>
  </sheetViews>
  <sheetFormatPr defaultColWidth="8.62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35.25" customHeight="1" x14ac:dyDescent="0.2">
      <c r="A1" s="1" t="s">
        <v>14</v>
      </c>
      <c r="B1" s="1" t="s">
        <v>51</v>
      </c>
      <c r="C1" s="1" t="s">
        <v>17</v>
      </c>
      <c r="D1" s="1" t="s">
        <v>18</v>
      </c>
      <c r="E1" s="1" t="s">
        <v>15</v>
      </c>
      <c r="F1" s="1" t="s">
        <v>16</v>
      </c>
      <c r="G1" s="1" t="s">
        <v>19</v>
      </c>
      <c r="H1" s="1" t="s">
        <v>281</v>
      </c>
      <c r="I1" s="1" t="s">
        <v>287</v>
      </c>
      <c r="J1" s="10" t="s">
        <v>285</v>
      </c>
      <c r="K1" s="1" t="s">
        <v>249</v>
      </c>
      <c r="L1" s="1" t="s">
        <v>64</v>
      </c>
      <c r="Q1" s="1" t="s">
        <v>169</v>
      </c>
      <c r="R1" s="1" t="s">
        <v>169</v>
      </c>
      <c r="S1" s="1" t="s">
        <v>169</v>
      </c>
      <c r="T1" s="1" t="s">
        <v>169</v>
      </c>
      <c r="U1" s="1" t="s">
        <v>169</v>
      </c>
      <c r="V1" s="1" t="s">
        <v>169</v>
      </c>
      <c r="W1" s="1" t="s">
        <v>169</v>
      </c>
    </row>
    <row r="2" spans="1:23" x14ac:dyDescent="0.2">
      <c r="A2">
        <v>1</v>
      </c>
      <c r="B2">
        <v>1</v>
      </c>
      <c r="C2" t="s">
        <v>49</v>
      </c>
      <c r="D2" t="s">
        <v>175</v>
      </c>
      <c r="E2" t="s">
        <v>210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K2" t="s">
        <v>195</v>
      </c>
      <c r="Q2">
        <v>1</v>
      </c>
    </row>
    <row r="3" spans="1:23" x14ac:dyDescent="0.2">
      <c r="A3">
        <v>2</v>
      </c>
      <c r="B3">
        <v>1</v>
      </c>
      <c r="C3" t="s">
        <v>49</v>
      </c>
      <c r="D3" t="s">
        <v>176</v>
      </c>
      <c r="E3" t="s">
        <v>210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K3" t="s">
        <v>58</v>
      </c>
      <c r="Q3">
        <v>1</v>
      </c>
    </row>
    <row r="4" spans="1:23" x14ac:dyDescent="0.2">
      <c r="A4">
        <v>3</v>
      </c>
      <c r="B4">
        <v>1</v>
      </c>
      <c r="C4" t="s">
        <v>65</v>
      </c>
      <c r="D4" t="s">
        <v>177</v>
      </c>
      <c r="E4" t="s">
        <v>210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K4" t="str">
        <f t="array" ref="K4">INDEX(use_fish!A:A,SMALL(IF(group!$K$2&amp;IF(ISBLANK($K$3),$K$3,"+"&amp;$K$3)=use_fish!G:G,ROW(use_fish!G:G),4^8),ROW(1:1)))&amp;""</f>
        <v>135</v>
      </c>
      <c r="Q4">
        <v>2</v>
      </c>
    </row>
    <row r="5" spans="1:23" x14ac:dyDescent="0.2">
      <c r="A5">
        <v>4</v>
      </c>
      <c r="B5">
        <v>1</v>
      </c>
      <c r="C5" t="s">
        <v>65</v>
      </c>
      <c r="D5" t="s">
        <v>189</v>
      </c>
      <c r="E5" t="s">
        <v>210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K5" t="str">
        <f t="array" ref="K5">INDEX(use_fish!A:A,SMALL(IF(group!$K$2&amp;IF(ISBLANK($K$3),$K$3,"+"&amp;$K$3)=use_fish!G:G,ROW(use_fish!G:G),4^8),ROW(2:2)))&amp;""</f>
        <v/>
      </c>
      <c r="Q5">
        <v>2</v>
      </c>
    </row>
    <row r="6" spans="1:23" x14ac:dyDescent="0.2">
      <c r="A6">
        <v>5</v>
      </c>
      <c r="B6">
        <v>1</v>
      </c>
      <c r="C6" t="s">
        <v>50</v>
      </c>
      <c r="E6" t="s">
        <v>210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K6" t="str">
        <f t="array" ref="K6">INDEX(use_fish!A:A,SMALL(IF(group!$K$2&amp;IF(ISBLANK($K$3),$K$3,"+"&amp;$K$3)=use_fish!G:G,ROW(use_fish!G:G),4^8),ROW(3:3)))&amp;""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66</v>
      </c>
      <c r="D7" t="s">
        <v>178</v>
      </c>
      <c r="E7" t="s">
        <v>210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K7" t="str">
        <f t="array" ref="K7">INDEX(use_fish!A:A,SMALL(IF(group!$K$2&amp;IF(ISBLANK($K$3),$K$3,"+"&amp;$K$3)=use_fish!G:G,ROW(use_fish!G:G),4^8),ROW(4:4)))&amp;""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49</v>
      </c>
      <c r="D8" t="s">
        <v>179</v>
      </c>
      <c r="E8" t="s">
        <v>210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K8" t="str">
        <f t="array" ref="K8">INDEX(use_fish!A:A,SMALL(IF(group!$K$2&amp;IF(ISBLANK($K$3),$K$3,"+"&amp;$K$3)=use_fish!G:G,ROW(use_fish!G:G),4^8),ROW(5:5)))&amp;""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49</v>
      </c>
      <c r="D9" t="s">
        <v>176</v>
      </c>
      <c r="E9" t="s">
        <v>210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K9" t="str">
        <f t="array" ref="K9">INDEX(use_fish!A:A,SMALL(IF(group!$K$2&amp;IF(ISBLANK($K$3),$K$3,"+"&amp;$K$3)=use_fish!G:G,ROW(use_fish!G:G),4^8),ROW(6:6)))&amp;""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65</v>
      </c>
      <c r="D10" t="s">
        <v>180</v>
      </c>
      <c r="E10" t="s">
        <v>210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K10" t="str">
        <f t="array" ref="K10">INDEX(use_fish!A:A,SMALL(IF(group!$K$2&amp;IF(ISBLANK($K$3),$K$3,"+"&amp;$K$3)=use_fish!G:G,ROW(use_fish!G:G),4^8),ROW(7:7)))&amp;""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65</v>
      </c>
      <c r="D11" t="s">
        <v>181</v>
      </c>
      <c r="E11" t="s">
        <v>210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K11" t="str">
        <f t="array" ref="K11">INDEX(use_fish!A:A,SMALL(IF(group!$K$2&amp;IF(ISBLANK($K$3),$K$3,"+"&amp;$K$3)=use_fish!G:G,ROW(use_fish!G:G),4^8),ROW(8:8)))&amp;""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50</v>
      </c>
      <c r="D12" t="s">
        <v>177</v>
      </c>
      <c r="E12" t="s">
        <v>210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K12" t="str">
        <f t="array" ref="K12">INDEX(use_fish!A:A,SMALL(IF(group!$K$2&amp;IF(ISBLANK($K$3),$K$3,"+"&amp;$K$3)=use_fish!G:G,ROW(use_fish!G:G),4^8),ROW(9:9)))&amp;""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67</v>
      </c>
      <c r="D13" t="s">
        <v>65</v>
      </c>
      <c r="E13" t="s">
        <v>210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176</v>
      </c>
      <c r="D14" t="s">
        <v>65</v>
      </c>
      <c r="E14" t="s">
        <v>210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52</v>
      </c>
      <c r="D15" t="s">
        <v>65</v>
      </c>
      <c r="E15" t="s">
        <v>210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68</v>
      </c>
      <c r="D16" t="s">
        <v>65</v>
      </c>
      <c r="E16" t="s">
        <v>210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69</v>
      </c>
      <c r="D17" t="s">
        <v>65</v>
      </c>
      <c r="E17" t="s">
        <v>210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70</v>
      </c>
      <c r="D18" t="s">
        <v>65</v>
      </c>
      <c r="E18" t="s">
        <v>210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67</v>
      </c>
      <c r="E19" t="s">
        <v>210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K19" t="str">
        <f t="array" ref="K19">INDEX(use_fish!A:A,SMALL(IF(group!$K$2&amp;IF(ISBLANK($K$3),$K$3,"+"&amp;$K$3)=use_fish!G:G,ROW(use_fish!G:G),4^8),ROW(10:10)))&amp;""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190</v>
      </c>
      <c r="E20" t="s">
        <v>210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K20" t="str">
        <f t="array" ref="K20">INDEX(use_fish!A:A,SMALL(IF(group!$K$2&amp;IF(ISBLANK($K$3),$K$3,"+"&amp;$K$3)=use_fish!G:G,ROW(use_fish!G:G),4^8),ROW(11:11)))&amp;""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52</v>
      </c>
      <c r="E21" t="s">
        <v>210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K21" t="str">
        <f t="array" ref="K21">INDEX(use_fish!A:A,SMALL(IF(group!$K$2&amp;IF(ISBLANK($K$3),$K$3,"+"&amp;$K$3)=use_fish!G:G,ROW(use_fish!G:G),4^8),ROW(12:12)))&amp;""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68</v>
      </c>
      <c r="E22" t="s">
        <v>210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K22" t="str">
        <f t="array" ref="K22">INDEX(use_fish!A:A,SMALL(IF(group!$K$2&amp;IF(ISBLANK($K$3),$K$3,"+"&amp;$K$3)=use_fish!G:G,ROW(use_fish!G:G),4^8),ROW(19:19)))&amp;""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69</v>
      </c>
      <c r="E23" t="s">
        <v>210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K23" t="str">
        <f t="array" ref="K23">INDEX(use_fish!A:A,SMALL(IF(group!$K$2&amp;IF(ISBLANK($K$3),$K$3,"+"&amp;$K$3)=use_fish!G:G,ROW(use_fish!G:G),4^8),ROW(20:20)))&amp;""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70</v>
      </c>
      <c r="E24" t="s">
        <v>210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K24" t="str">
        <f t="array" ref="K24">INDEX(use_fish!A:A,SMALL(IF(group!$K$2&amp;IF(ISBLANK($K$3),$K$3,"+"&amp;$K$3)=use_fish!G:G,ROW(use_fish!G:G),4^8),ROW(21:21)))&amp;""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71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K25" t="str">
        <f t="array" ref="K25">INDEX(use_fish!A:A,SMALL(IF(group!$K$2&amp;IF(ISBLANK($K$3),$K$3,"+"&amp;$K$3)=use_fish!G:G,ROW(use_fish!G:G),4^8),ROW(22:22)))&amp;""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72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K26" t="str">
        <f t="array" ref="K26">INDEX(use_fish!A:A,SMALL(IF(group!$K$2&amp;IF(ISBLANK($K$3),$K$3,"+"&amp;$K$3)=use_fish!G:G,ROW(use_fish!G:G),4^8),ROW(23:23)))&amp;""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73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K27" t="str">
        <f t="array" ref="K27">INDEX(use_fish!A:A,SMALL(IF(group!$K$2&amp;IF(ISBLANK($K$3),$K$3,"+"&amp;$K$3)=use_fish!G:G,ROW(use_fish!G:G),4^8),ROW(24:24)))&amp;""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203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74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75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K30" t="str">
        <f t="array" ref="K30">INDEX(use_fish!A:A,SMALL(IF(group!$K$2&amp;IF(ISBLANK($K$3),$K$3,"+"&amp;$K$3)=use_fish!G:G,ROW(use_fish!G:G),4^8),ROW(27:27)))&amp;""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76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K31" t="str">
        <f t="array" ref="K31">INDEX(use_fish!A:A,SMALL(IF(group!$K$2&amp;IF(ISBLANK($K$3),$K$3,"+"&amp;$K$3)=use_fish!G:G,ROW(use_fish!G:G),4^8),ROW(28:28)))&amp;""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77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78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79</v>
      </c>
      <c r="E34" t="s">
        <v>210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80</v>
      </c>
      <c r="E35" t="s">
        <v>210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81</v>
      </c>
      <c r="E36" t="s">
        <v>210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82</v>
      </c>
      <c r="E37" t="s">
        <v>210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83</v>
      </c>
      <c r="E38" t="s">
        <v>210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84</v>
      </c>
      <c r="E39" t="s">
        <v>210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85</v>
      </c>
      <c r="E40" t="s">
        <v>210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86</v>
      </c>
      <c r="E41" t="s">
        <v>210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K41" t="str">
        <f t="array" ref="K41">INDEX(use_fish!A:A,SMALL(IF(group!$K$2&amp;IF(ISBLANK($K$3),$K$3,"+"&amp;$K$3)=use_fish!G:G,ROW(use_fish!G:G),4^8),ROW(38:38)))&amp;""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87</v>
      </c>
      <c r="E42" t="s">
        <v>210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K42" t="str">
        <f t="array" ref="K42">INDEX(use_fish!A:A,SMALL(IF(group!$K$2&amp;IF(ISBLANK($K$3),$K$3,"+"&amp;$K$3)=use_fish!G:G,ROW(use_fish!G:G),4^8),ROW(39:39)))&amp;""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88</v>
      </c>
      <c r="E43" t="s">
        <v>210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30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30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K43" t="str">
        <f t="array" ref="K43">INDEX(use_fish!A:A,SMALL(IF(group!$K$2&amp;IF(ISBLANK($K$3),$K$3,"+"&amp;$K$3)=use_fish!G:G,ROW(use_fish!G:G),4^8),ROW(40:40)))&amp;""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89</v>
      </c>
      <c r="E44" t="s">
        <v>210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K44" t="str">
        <f t="array" ref="K44">INDEX(use_fish!A:A,SMALL(IF(group!$K$2&amp;IF(ISBLANK($K$3),$K$3,"+"&amp;$K$3)=use_fish!G:G,ROW(use_fish!G:G),4^8),ROW(41:41)))&amp;""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90</v>
      </c>
      <c r="E45" t="s">
        <v>210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91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92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93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40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40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94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103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103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95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103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103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96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97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98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99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100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50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50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101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113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113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102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113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113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103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104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105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106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107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108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109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60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60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110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123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123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111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112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113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114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115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116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117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118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119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70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70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120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133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133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K75" t="str">
        <f t="array" ref="K75">INDEX(use_fish!A:A,SMALL(IF(group!$K$2&amp;IF(ISBLANK($K$3),$K$3,"+"&amp;$K$3)=use_fish!G:G,ROW(use_fish!G:G),4^8),ROW(72:72)))&amp;""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121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K76" t="str">
        <f t="array" ref="K76">INDEX(use_fish!A:A,SMALL(IF(group!$K$2&amp;IF(ISBLANK($K$3),$K$3,"+"&amp;$K$3)=use_fish!G:G,ROW(use_fish!G:G),4^8),ROW(73:73)))&amp;""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122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K77" t="str">
        <f t="array" ref="K77">INDEX(use_fish!A:A,SMALL(IF(group!$K$2&amp;IF(ISBLANK($K$3),$K$3,"+"&amp;$K$3)=use_fish!G:G,ROW(use_fish!G:G),4^8),ROW(74:74)))&amp;""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123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124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125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126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127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128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100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100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129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163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163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K84" t="str">
        <f t="array" ref="K84">INDEX(use_fish!A:A,SMALL(IF(group!$K$2&amp;IF(ISBLANK($K$3),$K$3,"+"&amp;$K$3)=use_fish!G:G,ROW(use_fish!G:G),4^8),ROW(81:81)))&amp;""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130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131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132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133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134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135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136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80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80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137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143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143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138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143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143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139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140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141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142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143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144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145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146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100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100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147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163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163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148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149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150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151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152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153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154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155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156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157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183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183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158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159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160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161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204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205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206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207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208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209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162</v>
      </c>
      <c r="G123" t="s">
        <v>163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215</v>
      </c>
      <c r="G124" t="s">
        <v>164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216</v>
      </c>
      <c r="G125" t="s">
        <v>165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217</v>
      </c>
      <c r="G126" t="s">
        <v>166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218</v>
      </c>
      <c r="G127" t="s">
        <v>165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219</v>
      </c>
      <c r="G128" t="s">
        <v>167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220</v>
      </c>
      <c r="G129" t="s">
        <v>168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223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224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225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226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227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228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229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230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231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232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233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234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235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236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237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238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268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49</v>
      </c>
      <c r="Q146">
        <v>118</v>
      </c>
    </row>
    <row r="147" spans="1:17" x14ac:dyDescent="0.2">
      <c r="A147">
        <v>146</v>
      </c>
      <c r="B147">
        <v>1</v>
      </c>
      <c r="C147" t="s">
        <v>269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379</v>
      </c>
      <c r="Q147">
        <v>119</v>
      </c>
    </row>
    <row r="148" spans="1:17" x14ac:dyDescent="0.2">
      <c r="A148">
        <v>147</v>
      </c>
      <c r="B148">
        <v>1</v>
      </c>
      <c r="C148" t="s">
        <v>270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378</v>
      </c>
      <c r="Q148">
        <v>120</v>
      </c>
    </row>
    <row r="149" spans="1:17" x14ac:dyDescent="0.2">
      <c r="A149">
        <v>148</v>
      </c>
      <c r="B149">
        <v>1</v>
      </c>
      <c r="C149" t="s">
        <v>274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391</v>
      </c>
      <c r="D150" t="s">
        <v>376</v>
      </c>
      <c r="E150" t="s">
        <v>360</v>
      </c>
      <c r="H150">
        <f>SUM(_xlfn.IFNA(LOOKUP(Q150,use_fish!A:A,use_fish!D:D),0),_xlfn.IFNA(LOOKUP(R150,use_fish!A:A,use_fish!D:D),0),_xlfn.IFNA(LOOKUP(S150,use_fish!A:A,use_fish!D:D),0),_xlfn.IFNA(LOOKUP(T150,use_fish!A:A,use_fish!D:D),0),_xlfn.IFNA(LOOKUP(U150,use_fish!A:A,use_fish!D:D),0),_xlfn.IFNA(LOOKUP(V150,use_fish!A:A,use_fish!D:D),0),_xlfn.IFNA(LOOKUP(W150,use_fish!A:A,use_fish!D:D),0),)</f>
        <v>50</v>
      </c>
      <c r="I150">
        <f>SUM(_xlfn.IFNA(LOOKUP(Q150,use_fish!A:A,use_fish!H:H),0),_xlfn.IFNA(LOOKUP(R150,use_fish!A:A,use_fish!H:H),0),_xlfn.IFNA(LOOKUP(S150,use_fish!A:A,use_fish!H:H),0),_xlfn.IFNA(LOOKUP(T150,use_fish!A:A,use_fish!H:H),0),_xlfn.IFNA(LOOKUP(U150,use_fish!A:A,use_fish!H:H),0),_xlfn.IFNA(LOOKUP(V150,use_fish!A:A,use_fish!H:H),0),_xlfn.IFNA(LOOKUP(W150,use_fish!A:A,use_fish!H:H),0),)</f>
        <v>100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126</v>
      </c>
    </row>
    <row r="151" spans="1:17" x14ac:dyDescent="0.2">
      <c r="A151">
        <v>150</v>
      </c>
      <c r="B151">
        <v>1</v>
      </c>
      <c r="C151" t="s">
        <v>324</v>
      </c>
      <c r="D151" t="s">
        <v>376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100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127</v>
      </c>
    </row>
    <row r="152" spans="1:17" x14ac:dyDescent="0.2">
      <c r="A152">
        <v>151</v>
      </c>
      <c r="B152">
        <v>1</v>
      </c>
      <c r="C152" t="s">
        <v>325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50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128</v>
      </c>
    </row>
    <row r="153" spans="1:17" x14ac:dyDescent="0.2">
      <c r="A153">
        <v>152</v>
      </c>
      <c r="B153">
        <v>1</v>
      </c>
      <c r="C153" t="s">
        <v>345</v>
      </c>
      <c r="D153" t="s">
        <v>376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50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123</v>
      </c>
    </row>
    <row r="154" spans="1:17" x14ac:dyDescent="0.2">
      <c r="A154">
        <v>153</v>
      </c>
      <c r="B154">
        <v>1</v>
      </c>
      <c r="C154" t="s">
        <v>346</v>
      </c>
      <c r="D154" t="s">
        <v>376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50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124</v>
      </c>
    </row>
    <row r="155" spans="1:17" x14ac:dyDescent="0.2">
      <c r="A155">
        <v>154</v>
      </c>
      <c r="B155">
        <v>1</v>
      </c>
      <c r="C155" t="s">
        <v>347</v>
      </c>
      <c r="D155" t="s">
        <v>376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125</v>
      </c>
    </row>
    <row r="156" spans="1:17" x14ac:dyDescent="0.2">
      <c r="A156">
        <v>155</v>
      </c>
      <c r="B156">
        <v>1</v>
      </c>
      <c r="C156" t="s">
        <v>365</v>
      </c>
      <c r="D156" t="s">
        <v>69</v>
      </c>
      <c r="E156" t="s">
        <v>360</v>
      </c>
      <c r="G156" t="s">
        <v>380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50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100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126</v>
      </c>
    </row>
    <row r="157" spans="1:17" x14ac:dyDescent="0.2">
      <c r="A157">
        <v>156</v>
      </c>
      <c r="B157">
        <v>1</v>
      </c>
      <c r="C157" t="s">
        <v>366</v>
      </c>
      <c r="D157" t="s">
        <v>69</v>
      </c>
      <c r="G157" t="s">
        <v>369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50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0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123</v>
      </c>
    </row>
    <row r="158" spans="1:17" x14ac:dyDescent="0.2">
      <c r="A158">
        <v>157</v>
      </c>
      <c r="B158">
        <v>1</v>
      </c>
      <c r="C158" t="s">
        <v>367</v>
      </c>
      <c r="D158" t="s">
        <v>69</v>
      </c>
      <c r="G158" t="s">
        <v>369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50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0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124</v>
      </c>
    </row>
    <row r="159" spans="1:17" x14ac:dyDescent="0.2">
      <c r="A159">
        <v>158</v>
      </c>
      <c r="B159">
        <v>1</v>
      </c>
      <c r="C159" t="s">
        <v>368</v>
      </c>
      <c r="D159" t="s">
        <v>69</v>
      </c>
      <c r="G159" t="s">
        <v>369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50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0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125</v>
      </c>
    </row>
  </sheetData>
  <autoFilter ref="I1:I129"/>
  <dataConsolidate/>
  <phoneticPr fontId="1" type="noConversion"/>
  <conditionalFormatting sqref="I1:I1048576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K146:K148 J2:J1048576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:H159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K2</xm:sqref>
        </x14:dataValidation>
        <x14:dataValidation type="list" showInputMessage="1" showErrorMessage="1">
          <x14:formula1>
            <xm:f>activity!$J$2:$J$10</xm:f>
          </x14:formula1>
          <xm:sqref>K3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49"/>
  <sheetViews>
    <sheetView workbookViewId="0">
      <pane ySplit="1" topLeftCell="A117" activePane="bottomLeft" state="frozen"/>
      <selection pane="bottomLeft" activeCell="C129" sqref="C129:F129"/>
    </sheetView>
  </sheetViews>
  <sheetFormatPr defaultColWidth="8.875"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625" customWidth="1"/>
    <col min="9" max="9" width="19" customWidth="1"/>
  </cols>
  <sheetData>
    <row r="1" spans="1:12" ht="67.5" x14ac:dyDescent="0.2">
      <c r="A1" s="1" t="s">
        <v>26</v>
      </c>
      <c r="B1" s="1" t="s">
        <v>27</v>
      </c>
      <c r="C1" s="1" t="s">
        <v>21</v>
      </c>
      <c r="D1" s="1" t="s">
        <v>277</v>
      </c>
      <c r="E1" s="1" t="s">
        <v>0</v>
      </c>
      <c r="F1" s="1" t="s">
        <v>29</v>
      </c>
      <c r="G1" s="1" t="s">
        <v>23</v>
      </c>
      <c r="H1" s="9" t="s">
        <v>283</v>
      </c>
      <c r="I1" s="9" t="s">
        <v>278</v>
      </c>
      <c r="J1" s="9" t="s">
        <v>286</v>
      </c>
      <c r="K1" s="9" t="s">
        <v>314</v>
      </c>
      <c r="L1" s="9" t="s">
        <v>315</v>
      </c>
    </row>
    <row r="2" spans="1:12" x14ac:dyDescent="0.2">
      <c r="A2" s="3">
        <v>1</v>
      </c>
      <c r="B2" s="3">
        <v>1</v>
      </c>
      <c r="C2" s="3"/>
      <c r="D2" s="2">
        <f>LOOKUP(use_fish!B2,base_fish!A:A,base_fish!C:C)+_xlfn.IFNA(INDEX(activity!G:G,MATCH(use_fish!C2,activity!A:A,0)),0)</f>
        <v>1</v>
      </c>
      <c r="E2" s="2">
        <f>1/D2</f>
        <v>1</v>
      </c>
      <c r="F2" s="2" t="s">
        <v>28</v>
      </c>
      <c r="G2" s="5" t="str">
        <f>INDEX(base_fish!E:E,MATCH(use_fish!B2,base_fish!A:A,0))&amp;_xlfn.IFNA("+"&amp;INDEX(activity!H:H,MATCH(use_fish!C2,activity!A:A,0)),"")</f>
        <v>小黄鱼</v>
      </c>
      <c r="H2" s="2">
        <f>LOOKUP(use_fish!B2,base_fish!A:A,base_fish!F:F)+_xlfn.IFNA(INDEX(activity!G:G,MATCH(use_fish!C2,activity!A:A,0)),0)</f>
        <v>1</v>
      </c>
      <c r="I2">
        <v>1</v>
      </c>
      <c r="J2">
        <f>LOOKUP(use_fish!B2,base_fish!A:A,base_fish!G:G)</f>
        <v>0</v>
      </c>
      <c r="K2">
        <f>LOOKUP(use_fish!B2,base_fish!A:A,base_fish!F:F)</f>
        <v>1</v>
      </c>
      <c r="L2">
        <v>1</v>
      </c>
    </row>
    <row r="3" spans="1:12" x14ac:dyDescent="0.2">
      <c r="A3" s="3">
        <v>2</v>
      </c>
      <c r="B3" s="3">
        <v>2</v>
      </c>
      <c r="C3" s="3"/>
      <c r="D3" s="2">
        <f>LOOKUP(use_fish!B3,base_fish!A:A,base_fish!C:C)+_xlfn.IFNA(INDEX(activity!G:G,MATCH(use_fish!C3,activity!A:A,0)),0)</f>
        <v>2</v>
      </c>
      <c r="E3" s="2">
        <f>1/D3</f>
        <v>0.5</v>
      </c>
      <c r="F3" s="2" t="s">
        <v>28</v>
      </c>
      <c r="G3" s="5" t="str">
        <f>INDEX(base_fish!E:E,MATCH(use_fish!B3,base_fish!A:A,0))&amp;_xlfn.IFNA("+"&amp;INDEX(activity!H:H,MATCH(use_fish!C3,activity!A:A,0)),"")</f>
        <v>小蓝鱼</v>
      </c>
      <c r="H3" s="2">
        <f>LOOKUP(use_fish!B3,base_fish!A:A,base_fish!F:F)+_xlfn.IFNA(INDEX(activity!G:G,MATCH(use_fish!C3,activity!A:A,0)),0)</f>
        <v>2</v>
      </c>
      <c r="I3">
        <v>1</v>
      </c>
      <c r="J3">
        <f>LOOKUP(use_fish!B3,base_fish!A:A,base_fish!G:G)</f>
        <v>0</v>
      </c>
      <c r="K3">
        <f>LOOKUP(use_fish!B3,base_fish!A:A,base_fish!F:F)</f>
        <v>2</v>
      </c>
      <c r="L3">
        <v>1</v>
      </c>
    </row>
    <row r="4" spans="1:12" x14ac:dyDescent="0.2">
      <c r="A4" s="3">
        <v>3</v>
      </c>
      <c r="B4" s="3">
        <v>3</v>
      </c>
      <c r="C4" s="3"/>
      <c r="D4" s="2">
        <f>LOOKUP(use_fish!B4,base_fish!A:A,base_fish!C:C)+_xlfn.IFNA(INDEX(activity!G:G,MATCH(use_fish!C4,activity!A:A,0)),0)</f>
        <v>5</v>
      </c>
      <c r="E4" s="2">
        <f t="shared" ref="E4:E19" si="0">1/D4</f>
        <v>0.2</v>
      </c>
      <c r="F4" s="2" t="s">
        <v>28</v>
      </c>
      <c r="G4" s="5" t="str">
        <f>INDEX(base_fish!E:E,MATCH(use_fish!B4,base_fish!A:A,0))&amp;_xlfn.IFNA("+"&amp;INDEX(activity!H:H,MATCH(use_fish!C4,activity!A:A,0)),"")</f>
        <v>彩纹鱼</v>
      </c>
      <c r="H4" s="2">
        <f>LOOKUP(use_fish!B4,base_fish!A:A,base_fish!F:F)+_xlfn.IFNA(INDEX(activity!G:G,MATCH(use_fish!C4,activity!A:A,0)),0)</f>
        <v>5</v>
      </c>
      <c r="I4">
        <v>1</v>
      </c>
      <c r="J4">
        <f>LOOKUP(use_fish!B4,base_fish!A:A,base_fish!G:G)</f>
        <v>0</v>
      </c>
      <c r="K4">
        <f>LOOKUP(use_fish!B4,base_fish!A:A,base_fish!F:F)</f>
        <v>5</v>
      </c>
      <c r="L4">
        <v>1</v>
      </c>
    </row>
    <row r="5" spans="1:12" x14ac:dyDescent="0.2">
      <c r="A5" s="3">
        <v>4</v>
      </c>
      <c r="B5" s="3">
        <v>4</v>
      </c>
      <c r="C5" s="3"/>
      <c r="D5" s="2">
        <f>LOOKUP(use_fish!B5,base_fish!A:A,base_fish!C:C)+_xlfn.IFNA(INDEX(activity!G:G,MATCH(use_fish!C5,activity!A:A,0)),0)</f>
        <v>8</v>
      </c>
      <c r="E5" s="2">
        <f t="shared" si="0"/>
        <v>0.125</v>
      </c>
      <c r="F5" s="2" t="s">
        <v>28</v>
      </c>
      <c r="G5" s="5" t="str">
        <f>INDEX(base_fish!E:E,MATCH(use_fish!B5,base_fish!A:A,0))&amp;_xlfn.IFNA("+"&amp;INDEX(activity!H:H,MATCH(use_fish!C5,activity!A:A,0)),"")</f>
        <v>蓝河豚</v>
      </c>
      <c r="H5" s="2">
        <f>LOOKUP(use_fish!B5,base_fish!A:A,base_fish!F:F)+_xlfn.IFNA(INDEX(activity!G:G,MATCH(use_fish!C5,activity!A:A,0)),0)</f>
        <v>8</v>
      </c>
      <c r="I5">
        <v>1</v>
      </c>
      <c r="J5">
        <f>LOOKUP(use_fish!B5,base_fish!A:A,base_fish!G:G)</f>
        <v>0</v>
      </c>
      <c r="K5">
        <f>LOOKUP(use_fish!B5,base_fish!A:A,base_fish!F:F)</f>
        <v>8</v>
      </c>
      <c r="L5">
        <v>1</v>
      </c>
    </row>
    <row r="6" spans="1:12" x14ac:dyDescent="0.2">
      <c r="A6" s="3">
        <v>5</v>
      </c>
      <c r="B6" s="3">
        <v>5</v>
      </c>
      <c r="C6" s="3"/>
      <c r="D6" s="2">
        <f>LOOKUP(use_fish!B6,base_fish!A:A,base_fish!C:C)+_xlfn.IFNA(INDEX(activity!G:G,MATCH(use_fish!C6,activity!A:A,0)),0)</f>
        <v>15</v>
      </c>
      <c r="E6" s="2">
        <f t="shared" si="0"/>
        <v>6.6666666666666666E-2</v>
      </c>
      <c r="F6" s="2" t="s">
        <v>28</v>
      </c>
      <c r="G6" s="5" t="str">
        <f>INDEX(base_fish!E:E,MATCH(use_fish!B6,base_fish!A:A,0))&amp;_xlfn.IFNA("+"&amp;INDEX(activity!H:H,MATCH(use_fish!C6,activity!A:A,0)),"")</f>
        <v>小丑鱼</v>
      </c>
      <c r="H6" s="2">
        <f>LOOKUP(use_fish!B6,base_fish!A:A,base_fish!F:F)+_xlfn.IFNA(INDEX(activity!G:G,MATCH(use_fish!C6,activity!A:A,0)),0)</f>
        <v>15</v>
      </c>
      <c r="I6">
        <v>1</v>
      </c>
      <c r="J6">
        <f>LOOKUP(use_fish!B6,base_fish!A:A,base_fish!G:G)</f>
        <v>0</v>
      </c>
      <c r="K6">
        <f>LOOKUP(use_fish!B6,base_fish!A:A,base_fish!F:F)</f>
        <v>15</v>
      </c>
      <c r="L6">
        <v>1</v>
      </c>
    </row>
    <row r="7" spans="1:12" x14ac:dyDescent="0.2">
      <c r="A7" s="3">
        <v>6</v>
      </c>
      <c r="B7" s="3">
        <v>6</v>
      </c>
      <c r="C7" s="3"/>
      <c r="D7" s="2">
        <f>LOOKUP(use_fish!B7,base_fish!A:A,base_fish!C:C)+_xlfn.IFNA(INDEX(activity!G:G,MATCH(use_fish!C7,activity!A:A,0)),0)</f>
        <v>20</v>
      </c>
      <c r="E7" s="2">
        <f t="shared" si="0"/>
        <v>0.05</v>
      </c>
      <c r="F7" s="2" t="s">
        <v>28</v>
      </c>
      <c r="G7" s="5" t="str">
        <f>INDEX(base_fish!E:E,MATCH(use_fish!B7,base_fish!A:A,0))&amp;_xlfn.IFNA("+"&amp;INDEX(activity!H:H,MATCH(use_fish!C7,activity!A:A,0)),"")</f>
        <v>蓝灯鱼</v>
      </c>
      <c r="H7" s="2">
        <f>LOOKUP(use_fish!B7,base_fish!A:A,base_fish!F:F)+_xlfn.IFNA(INDEX(activity!G:G,MATCH(use_fish!C7,activity!A:A,0)),0)</f>
        <v>20</v>
      </c>
      <c r="I7">
        <v>1</v>
      </c>
      <c r="J7">
        <f>LOOKUP(use_fish!B7,base_fish!A:A,base_fish!G:G)</f>
        <v>0</v>
      </c>
      <c r="K7">
        <f>LOOKUP(use_fish!B7,base_fish!A:A,base_fish!F:F)</f>
        <v>20</v>
      </c>
      <c r="L7">
        <v>1</v>
      </c>
    </row>
    <row r="8" spans="1:12" x14ac:dyDescent="0.2">
      <c r="A8" s="3">
        <v>7</v>
      </c>
      <c r="B8" s="3">
        <v>7</v>
      </c>
      <c r="C8" s="3"/>
      <c r="D8" s="2">
        <f>LOOKUP(use_fish!B8,base_fish!A:A,base_fish!C:C)+_xlfn.IFNA(INDEX(activity!G:G,MATCH(use_fish!C8,activity!A:A,0)),0)</f>
        <v>30</v>
      </c>
      <c r="E8" s="2">
        <f t="shared" si="0"/>
        <v>3.3333333333333333E-2</v>
      </c>
      <c r="F8" s="2" t="s">
        <v>28</v>
      </c>
      <c r="G8" s="5" t="str">
        <f>INDEX(base_fish!E:E,MATCH(use_fish!B8,base_fish!A:A,0))&amp;_xlfn.IFNA("+"&amp;INDEX(activity!H:H,MATCH(use_fish!C8,activity!A:A,0)),"")</f>
        <v>红杉鱼</v>
      </c>
      <c r="H8" s="2">
        <f>LOOKUP(use_fish!B8,base_fish!A:A,base_fish!F:F)+_xlfn.IFNA(INDEX(activity!G:G,MATCH(use_fish!C8,activity!A:A,0)),0)</f>
        <v>30</v>
      </c>
      <c r="I8">
        <v>1</v>
      </c>
      <c r="J8">
        <f>LOOKUP(use_fish!B8,base_fish!A:A,base_fish!G:G)</f>
        <v>0</v>
      </c>
      <c r="K8">
        <f>LOOKUP(use_fish!B8,base_fish!A:A,base_fish!F:F)</f>
        <v>30</v>
      </c>
      <c r="L8">
        <v>1</v>
      </c>
    </row>
    <row r="9" spans="1:12" x14ac:dyDescent="0.2">
      <c r="A9" s="3">
        <v>8</v>
      </c>
      <c r="B9" s="3">
        <v>8</v>
      </c>
      <c r="C9" s="3"/>
      <c r="D9" s="2">
        <f>LOOKUP(use_fish!B9,base_fish!A:A,base_fish!C:C)+_xlfn.IFNA(INDEX(activity!G:G,MATCH(use_fish!C9,activity!A:A,0)),0)</f>
        <v>40</v>
      </c>
      <c r="E9" s="2">
        <f t="shared" si="0"/>
        <v>2.5000000000000001E-2</v>
      </c>
      <c r="F9" s="2" t="s">
        <v>28</v>
      </c>
      <c r="G9" s="5" t="str">
        <f>INDEX(base_fish!E:E,MATCH(use_fish!B9,base_fish!A:A,0))&amp;_xlfn.IFNA("+"&amp;INDEX(activity!H:H,MATCH(use_fish!C9,activity!A:A,0)),"")</f>
        <v>海龟</v>
      </c>
      <c r="H9" s="2">
        <f>LOOKUP(use_fish!B9,base_fish!A:A,base_fish!F:F)+_xlfn.IFNA(INDEX(activity!G:G,MATCH(use_fish!C9,activity!A:A,0)),0)</f>
        <v>40</v>
      </c>
      <c r="I9">
        <v>1</v>
      </c>
      <c r="J9">
        <f>LOOKUP(use_fish!B9,base_fish!A:A,base_fish!G:G)</f>
        <v>0</v>
      </c>
      <c r="K9">
        <f>LOOKUP(use_fish!B9,base_fish!A:A,base_fish!F:F)</f>
        <v>40</v>
      </c>
      <c r="L9">
        <v>1</v>
      </c>
    </row>
    <row r="10" spans="1:12" x14ac:dyDescent="0.2">
      <c r="A10" s="3">
        <v>9</v>
      </c>
      <c r="B10" s="3">
        <v>9</v>
      </c>
      <c r="C10" s="3"/>
      <c r="D10" s="2">
        <f>LOOKUP(use_fish!B10,base_fish!A:A,base_fish!C:C)+_xlfn.IFNA(INDEX(activity!G:G,MATCH(use_fish!C10,activity!A:A,0)),0)</f>
        <v>50</v>
      </c>
      <c r="E10" s="2">
        <f t="shared" si="0"/>
        <v>0.02</v>
      </c>
      <c r="F10" s="2" t="s">
        <v>28</v>
      </c>
      <c r="G10" s="5" t="str">
        <f>INDEX(base_fish!E:E,MATCH(use_fish!B10,base_fish!A:A,0))&amp;_xlfn.IFNA("+"&amp;INDEX(activity!H:H,MATCH(use_fish!C10,activity!A:A,0)),"")</f>
        <v>灯笼鱼</v>
      </c>
      <c r="H10" s="2">
        <f>LOOKUP(use_fish!B10,base_fish!A:A,base_fish!F:F)+_xlfn.IFNA(INDEX(activity!G:G,MATCH(use_fish!C10,activity!A:A,0)),0)</f>
        <v>50</v>
      </c>
      <c r="I10">
        <v>1</v>
      </c>
      <c r="J10">
        <f>LOOKUP(use_fish!B10,base_fish!A:A,base_fish!G:G)</f>
        <v>0</v>
      </c>
      <c r="K10">
        <f>LOOKUP(use_fish!B10,base_fish!A:A,base_fish!F:F)</f>
        <v>50</v>
      </c>
      <c r="L10">
        <v>1</v>
      </c>
    </row>
    <row r="11" spans="1:12" x14ac:dyDescent="0.2">
      <c r="A11" s="3">
        <v>10</v>
      </c>
      <c r="B11" s="3">
        <v>10</v>
      </c>
      <c r="C11" s="3"/>
      <c r="D11" s="2">
        <f>LOOKUP(use_fish!B11,base_fish!A:A,base_fish!C:C)+_xlfn.IFNA(INDEX(activity!G:G,MATCH(use_fish!C11,activity!A:A,0)),0)</f>
        <v>60</v>
      </c>
      <c r="E11" s="2">
        <f t="shared" si="0"/>
        <v>1.6666666666666666E-2</v>
      </c>
      <c r="F11" s="2" t="s">
        <v>28</v>
      </c>
      <c r="G11" s="5" t="str">
        <f>INDEX(base_fish!E:E,MATCH(use_fish!B11,base_fish!A:A,0))&amp;_xlfn.IFNA("+"&amp;INDEX(activity!H:H,MATCH(use_fish!C11,activity!A:A,0)),"")</f>
        <v>魔鬼鱼</v>
      </c>
      <c r="H11" s="2">
        <f>LOOKUP(use_fish!B11,base_fish!A:A,base_fish!F:F)+_xlfn.IFNA(INDEX(activity!G:G,MATCH(use_fish!C11,activity!A:A,0)),0)</f>
        <v>60</v>
      </c>
      <c r="I11">
        <v>1</v>
      </c>
      <c r="J11">
        <f>LOOKUP(use_fish!B11,base_fish!A:A,base_fish!G:G)</f>
        <v>0</v>
      </c>
      <c r="K11">
        <f>LOOKUP(use_fish!B11,base_fish!A:A,base_fish!F:F)</f>
        <v>60</v>
      </c>
      <c r="L11">
        <v>1</v>
      </c>
    </row>
    <row r="12" spans="1:12" x14ac:dyDescent="0.2">
      <c r="A12" s="3">
        <v>11</v>
      </c>
      <c r="B12" s="3">
        <v>11</v>
      </c>
      <c r="C12" s="3"/>
      <c r="D12" s="2">
        <f>LOOKUP(use_fish!B12,base_fish!A:A,base_fish!C:C)+_xlfn.IFNA(INDEX(activity!G:G,MATCH(use_fish!C12,activity!A:A,0)),0)</f>
        <v>70</v>
      </c>
      <c r="E12" s="2">
        <f t="shared" si="0"/>
        <v>1.4285714285714285E-2</v>
      </c>
      <c r="F12" s="2" t="s">
        <v>28</v>
      </c>
      <c r="G12" s="5" t="str">
        <f>INDEX(base_fish!E:E,MATCH(use_fish!B12,base_fish!A:A,0))&amp;_xlfn.IFNA("+"&amp;INDEX(activity!H:H,MATCH(use_fish!C12,activity!A:A,0)),"")</f>
        <v>大白鲨</v>
      </c>
      <c r="H12" s="2">
        <f>LOOKUP(use_fish!B12,base_fish!A:A,base_fish!F:F)+_xlfn.IFNA(INDEX(activity!G:G,MATCH(use_fish!C12,activity!A:A,0)),0)</f>
        <v>70</v>
      </c>
      <c r="I12">
        <v>1</v>
      </c>
      <c r="J12">
        <f>LOOKUP(use_fish!B12,base_fish!A:A,base_fish!G:G)</f>
        <v>0</v>
      </c>
      <c r="K12">
        <f>LOOKUP(use_fish!B12,base_fish!A:A,base_fish!F:F)</f>
        <v>70</v>
      </c>
      <c r="L12">
        <v>1</v>
      </c>
    </row>
    <row r="13" spans="1:12" x14ac:dyDescent="0.2">
      <c r="A13" s="3">
        <v>12</v>
      </c>
      <c r="B13" s="3">
        <v>12</v>
      </c>
      <c r="C13" s="3"/>
      <c r="D13" s="2">
        <f>LOOKUP(use_fish!B13,base_fish!A:A,base_fish!C:C)+_xlfn.IFNA(INDEX(activity!G:G,MATCH(use_fish!C13,activity!A:A,0)),0)</f>
        <v>100</v>
      </c>
      <c r="E13" s="2">
        <f t="shared" si="0"/>
        <v>0.01</v>
      </c>
      <c r="F13" s="2" t="s">
        <v>28</v>
      </c>
      <c r="G13" s="5" t="str">
        <f>INDEX(base_fish!E:E,MATCH(use_fish!B13,base_fish!A:A,0))&amp;_xlfn.IFNA("+"&amp;INDEX(activity!H:H,MATCH(use_fish!C13,activity!A:A,0)),"")</f>
        <v>锤头鲨</v>
      </c>
      <c r="H13" s="2">
        <f>LOOKUP(use_fish!B13,base_fish!A:A,base_fish!F:F)+_xlfn.IFNA(INDEX(activity!G:G,MATCH(use_fish!C13,activity!A:A,0)),0)</f>
        <v>100</v>
      </c>
      <c r="I13">
        <v>1</v>
      </c>
      <c r="J13">
        <f>LOOKUP(use_fish!B13,base_fish!A:A,base_fish!G:G)</f>
        <v>0</v>
      </c>
      <c r="K13">
        <f>LOOKUP(use_fish!B13,base_fish!A:A,base_fish!F:F)</f>
        <v>100</v>
      </c>
      <c r="L13">
        <v>1</v>
      </c>
    </row>
    <row r="14" spans="1:12" x14ac:dyDescent="0.2">
      <c r="A14" s="3">
        <v>13</v>
      </c>
      <c r="B14" s="3">
        <v>13</v>
      </c>
      <c r="C14" s="3"/>
      <c r="D14" s="2">
        <f>LOOKUP(use_fish!B14,base_fish!A:A,base_fish!C:C)+_xlfn.IFNA(INDEX(activity!G:G,MATCH(use_fish!C14,activity!A:A,0)),0)</f>
        <v>150</v>
      </c>
      <c r="E14" s="2">
        <f t="shared" si="0"/>
        <v>6.6666666666666671E-3</v>
      </c>
      <c r="F14" s="2" t="s">
        <v>28</v>
      </c>
      <c r="G14" s="5" t="str">
        <f>INDEX(base_fish!E:E,MATCH(use_fish!B14,base_fish!A:A,0))&amp;_xlfn.IFNA("+"&amp;INDEX(activity!H:H,MATCH(use_fish!C14,activity!A:A,0)),"")</f>
        <v>虎鲸</v>
      </c>
      <c r="H14" s="2">
        <f>LOOKUP(use_fish!B14,base_fish!A:A,base_fish!F:F)+_xlfn.IFNA(INDEX(activity!G:G,MATCH(use_fish!C14,activity!A:A,0)),0)</f>
        <v>150</v>
      </c>
      <c r="I14">
        <v>1</v>
      </c>
      <c r="J14">
        <f>LOOKUP(use_fish!B14,base_fish!A:A,base_fish!G:G)</f>
        <v>0</v>
      </c>
      <c r="K14">
        <f>LOOKUP(use_fish!B14,base_fish!A:A,base_fish!F:F)</f>
        <v>150</v>
      </c>
      <c r="L14">
        <v>1</v>
      </c>
    </row>
    <row r="15" spans="1:12" x14ac:dyDescent="0.2">
      <c r="A15" s="3">
        <v>14</v>
      </c>
      <c r="B15" s="3">
        <v>14</v>
      </c>
      <c r="C15" s="3"/>
      <c r="D15" s="2">
        <f>LOOKUP(use_fish!B15,base_fish!A:A,base_fish!C:C)+_xlfn.IFNA(INDEX(activity!G:G,MATCH(use_fish!C15,activity!A:A,0)),0)</f>
        <v>80</v>
      </c>
      <c r="E15" s="2">
        <f t="shared" si="0"/>
        <v>1.2500000000000001E-2</v>
      </c>
      <c r="F15" s="2" t="s">
        <v>28</v>
      </c>
      <c r="G15" s="5" t="str">
        <f>INDEX(base_fish!E:E,MATCH(use_fish!B15,base_fish!A:A,0))&amp;_xlfn.IFNA("+"&amp;INDEX(activity!H:H,MATCH(use_fish!C15,activity!A:A,0)),"")</f>
        <v>黄金海龟</v>
      </c>
      <c r="H15" s="2">
        <f>LOOKUP(use_fish!B15,base_fish!A:A,base_fish!F:F)+_xlfn.IFNA(INDEX(activity!G:G,MATCH(use_fish!C15,activity!A:A,0)),0)</f>
        <v>80</v>
      </c>
      <c r="I15">
        <v>1</v>
      </c>
      <c r="J15">
        <f>LOOKUP(use_fish!B15,base_fish!A:A,base_fish!G:G)</f>
        <v>0</v>
      </c>
      <c r="K15">
        <f>LOOKUP(use_fish!B15,base_fish!A:A,base_fish!F:F)</f>
        <v>80</v>
      </c>
      <c r="L15">
        <v>1</v>
      </c>
    </row>
    <row r="16" spans="1:12" x14ac:dyDescent="0.2">
      <c r="A16" s="3">
        <v>15</v>
      </c>
      <c r="B16" s="3">
        <v>15</v>
      </c>
      <c r="C16" s="3"/>
      <c r="D16" s="2">
        <f>LOOKUP(use_fish!B16,base_fish!A:A,base_fish!C:C)+_xlfn.IFNA(INDEX(activity!G:G,MATCH(use_fish!C16,activity!A:A,0)),0)</f>
        <v>100</v>
      </c>
      <c r="E16" s="2">
        <f t="shared" si="0"/>
        <v>0.01</v>
      </c>
      <c r="F16" s="2" t="s">
        <v>28</v>
      </c>
      <c r="G16" s="5" t="str">
        <f>INDEX(base_fish!E:E,MATCH(use_fish!B16,base_fish!A:A,0))&amp;_xlfn.IFNA("+"&amp;INDEX(activity!H:H,MATCH(use_fish!C16,activity!A:A,0)),"")</f>
        <v>黄金灯笼鱼</v>
      </c>
      <c r="H16" s="2">
        <f>LOOKUP(use_fish!B16,base_fish!A:A,base_fish!F:F)+_xlfn.IFNA(INDEX(activity!G:G,MATCH(use_fish!C16,activity!A:A,0)),0)</f>
        <v>100</v>
      </c>
      <c r="I16">
        <v>1</v>
      </c>
      <c r="J16">
        <f>LOOKUP(use_fish!B16,base_fish!A:A,base_fish!G:G)</f>
        <v>0</v>
      </c>
      <c r="K16">
        <f>LOOKUP(use_fish!B16,base_fish!A:A,base_fish!F:F)</f>
        <v>100</v>
      </c>
      <c r="L16">
        <v>1</v>
      </c>
    </row>
    <row r="17" spans="1:12" x14ac:dyDescent="0.2">
      <c r="A17" s="3">
        <v>16</v>
      </c>
      <c r="B17" s="3">
        <v>16</v>
      </c>
      <c r="C17" s="3"/>
      <c r="D17" s="2">
        <f>LOOKUP(use_fish!B17,base_fish!A:A,base_fish!C:C)+_xlfn.IFNA(INDEX(activity!G:G,MATCH(use_fish!C17,activity!A:A,0)),0)</f>
        <v>120</v>
      </c>
      <c r="E17" s="2">
        <f t="shared" si="0"/>
        <v>8.3333333333333332E-3</v>
      </c>
      <c r="F17" s="2" t="s">
        <v>28</v>
      </c>
      <c r="G17" s="5" t="str">
        <f>INDEX(base_fish!E:E,MATCH(use_fish!B17,base_fish!A:A,0))&amp;_xlfn.IFNA("+"&amp;INDEX(activity!H:H,MATCH(use_fish!C17,activity!A:A,0)),"")</f>
        <v>黄金魔鬼鱼</v>
      </c>
      <c r="H17" s="2">
        <f>LOOKUP(use_fish!B17,base_fish!A:A,base_fish!F:F)+_xlfn.IFNA(INDEX(activity!G:G,MATCH(use_fish!C17,activity!A:A,0)),0)</f>
        <v>120</v>
      </c>
      <c r="I17">
        <v>1</v>
      </c>
      <c r="J17">
        <f>LOOKUP(use_fish!B17,base_fish!A:A,base_fish!G:G)</f>
        <v>0</v>
      </c>
      <c r="K17">
        <f>LOOKUP(use_fish!B17,base_fish!A:A,base_fish!F:F)</f>
        <v>120</v>
      </c>
      <c r="L17">
        <v>1</v>
      </c>
    </row>
    <row r="18" spans="1:12" x14ac:dyDescent="0.2">
      <c r="A18" s="3">
        <v>17</v>
      </c>
      <c r="B18" s="3">
        <v>17</v>
      </c>
      <c r="C18" s="3"/>
      <c r="D18" s="2">
        <f>LOOKUP(use_fish!B18,base_fish!A:A,base_fish!C:C)+_xlfn.IFNA(INDEX(activity!G:G,MATCH(use_fish!C18,activity!A:A,0)),0)</f>
        <v>140</v>
      </c>
      <c r="E18" s="2">
        <f t="shared" si="0"/>
        <v>7.1428571428571426E-3</v>
      </c>
      <c r="F18" s="2" t="s">
        <v>28</v>
      </c>
      <c r="G18" s="5" t="str">
        <f>INDEX(base_fish!E:E,MATCH(use_fish!B18,base_fish!A:A,0))&amp;_xlfn.IFNA("+"&amp;INDEX(activity!H:H,MATCH(use_fish!C18,activity!A:A,0)),"")</f>
        <v>黄金大白鲨</v>
      </c>
      <c r="H18" s="2">
        <f>LOOKUP(use_fish!B18,base_fish!A:A,base_fish!F:F)+_xlfn.IFNA(INDEX(activity!G:G,MATCH(use_fish!C18,activity!A:A,0)),0)</f>
        <v>140</v>
      </c>
      <c r="I18">
        <v>1</v>
      </c>
      <c r="J18">
        <f>LOOKUP(use_fish!B18,base_fish!A:A,base_fish!G:G)</f>
        <v>0</v>
      </c>
      <c r="K18">
        <f>LOOKUP(use_fish!B18,base_fish!A:A,base_fish!F:F)</f>
        <v>140</v>
      </c>
      <c r="L18">
        <v>1</v>
      </c>
    </row>
    <row r="19" spans="1:12" x14ac:dyDescent="0.2">
      <c r="A19" s="3">
        <v>18</v>
      </c>
      <c r="B19" s="3">
        <v>18</v>
      </c>
      <c r="C19" s="3"/>
      <c r="D19" s="2">
        <f>LOOKUP(use_fish!B19,base_fish!A:A,base_fish!C:C)+_xlfn.IFNA(INDEX(activity!G:G,MATCH(use_fish!C19,activity!A:A,0)),0)</f>
        <v>200</v>
      </c>
      <c r="E19" s="2">
        <f t="shared" si="0"/>
        <v>5.0000000000000001E-3</v>
      </c>
      <c r="F19" s="2" t="s">
        <v>28</v>
      </c>
      <c r="G19" s="5" t="str">
        <f>INDEX(base_fish!E:E,MATCH(use_fish!B19,base_fish!A:A,0))&amp;_xlfn.IFNA("+"&amp;INDEX(activity!H:H,MATCH(use_fish!C19,activity!A:A,0)),"")</f>
        <v>黄金锤头鲨</v>
      </c>
      <c r="H19" s="2">
        <f>LOOKUP(use_fish!B19,base_fish!A:A,base_fish!F:F)+_xlfn.IFNA(INDEX(activity!G:G,MATCH(use_fish!C19,activity!A:A,0)),0)</f>
        <v>200</v>
      </c>
      <c r="I19">
        <v>1</v>
      </c>
      <c r="J19">
        <f>LOOKUP(use_fish!B19,base_fish!A:A,base_fish!G:G)</f>
        <v>0</v>
      </c>
      <c r="K19">
        <f>LOOKUP(use_fish!B19,base_fish!A:A,base_fish!F:F)</f>
        <v>200</v>
      </c>
      <c r="L19">
        <v>1</v>
      </c>
    </row>
    <row r="20" spans="1:12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LOOKUP(use_fish!B20,base_fish!A:A,base_fish!C:C)+_xlfn.IFNA(INDEX(activity!G:G,MATCH(use_fish!C20,activity!A:A,0)),0)</f>
        <v>83</v>
      </c>
      <c r="E20" s="2">
        <f t="shared" ref="E20:E36" si="1">1/D20</f>
        <v>1.2048192771084338E-2</v>
      </c>
      <c r="F20" s="2" t="s">
        <v>28</v>
      </c>
      <c r="G20" s="5" t="str">
        <f>INDEX(base_fish!E:E,MATCH(use_fish!B20,base_fish!A:A,0))&amp;_xlfn.IFNA("+"&amp;INDEX(activity!H:H,MATCH(use_fish!C20,activity!A:A,0)),"")</f>
        <v>蓝灯鱼+威力提升</v>
      </c>
      <c r="H20" s="2">
        <f>LOOKUP(use_fish!B20,base_fish!A:A,base_fish!F:F)+_xlfn.IFNA(INDEX(activity!G:G,MATCH(use_fish!C20,activity!A:A,0)),0)</f>
        <v>83</v>
      </c>
      <c r="I20">
        <v>1</v>
      </c>
      <c r="J20">
        <f>LOOKUP(use_fish!B20,base_fish!A:A,base_fish!G:G)</f>
        <v>0</v>
      </c>
      <c r="K20">
        <f>LOOKUP(use_fish!B20,base_fish!A:A,base_fish!F:F)</f>
        <v>20</v>
      </c>
      <c r="L20">
        <v>1</v>
      </c>
    </row>
    <row r="21" spans="1:12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LOOKUP(use_fish!B21,base_fish!A:A,base_fish!C:C)+_xlfn.IFNA(INDEX(activity!G:G,MATCH(use_fish!C21,activity!A:A,0)),0)</f>
        <v>83</v>
      </c>
      <c r="E21" s="2">
        <f t="shared" si="1"/>
        <v>1.2048192771084338E-2</v>
      </c>
      <c r="F21" s="2" t="s">
        <v>28</v>
      </c>
      <c r="G21" s="5" t="str">
        <f>INDEX(base_fish!E:E,MATCH(use_fish!B21,base_fish!A:A,0))&amp;_xlfn.IFNA("+"&amp;INDEX(activity!H:H,MATCH(use_fish!C21,activity!A:A,0)),"")</f>
        <v>蓝灯鱼+暴击时刻</v>
      </c>
      <c r="H21" s="2">
        <f>LOOKUP(use_fish!B21,base_fish!A:A,base_fish!F:F)+_xlfn.IFNA(INDEX(activity!G:G,MATCH(use_fish!C21,activity!A:A,0)),0)</f>
        <v>83</v>
      </c>
      <c r="I21">
        <v>1</v>
      </c>
      <c r="J21">
        <f>LOOKUP(use_fish!B21,base_fish!A:A,base_fish!G:G)</f>
        <v>0</v>
      </c>
      <c r="K21">
        <f>LOOKUP(use_fish!B21,base_fish!A:A,base_fish!F:F)</f>
        <v>20</v>
      </c>
      <c r="L21">
        <v>1</v>
      </c>
    </row>
    <row r="22" spans="1:12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LOOKUP(use_fish!B22,base_fish!A:A,base_fish!C:C)+_xlfn.IFNA(INDEX(activity!G:G,MATCH(use_fish!C22,activity!A:A,0)),0)</f>
        <v>70</v>
      </c>
      <c r="E22" s="2">
        <f t="shared" si="1"/>
        <v>1.4285714285714285E-2</v>
      </c>
      <c r="F22" s="2" t="s">
        <v>28</v>
      </c>
      <c r="G22" s="5" t="str">
        <f>INDEX(base_fish!E:E,MATCH(use_fish!B22,base_fish!A:A,0))&amp;_xlfn.IFNA("+"&amp;INDEX(activity!H:H,MATCH(use_fish!C22,activity!A:A,0)),"")</f>
        <v>蓝灯鱼+闪电</v>
      </c>
      <c r="H22" s="2">
        <f>LOOKUP(use_fish!B22,base_fish!A:A,base_fish!F:F)+_xlfn.IFNA(INDEX(activity!G:G,MATCH(use_fish!C22,activity!A:A,0)),0)</f>
        <v>70</v>
      </c>
      <c r="I22">
        <v>1</v>
      </c>
      <c r="J22">
        <f>LOOKUP(use_fish!B22,base_fish!A:A,base_fish!G:G)</f>
        <v>0</v>
      </c>
      <c r="K22">
        <f>LOOKUP(use_fish!B22,base_fish!A:A,base_fish!F:F)</f>
        <v>20</v>
      </c>
      <c r="L22">
        <v>1</v>
      </c>
    </row>
    <row r="23" spans="1:12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LOOKUP(use_fish!B23,base_fish!A:A,base_fish!C:C)+_xlfn.IFNA(INDEX(activity!G:G,MATCH(use_fish!C23,activity!A:A,0)),0)</f>
        <v>70</v>
      </c>
      <c r="E23" s="2">
        <f t="shared" si="1"/>
        <v>1.4285714285714285E-2</v>
      </c>
      <c r="F23" s="2" t="s">
        <v>28</v>
      </c>
      <c r="G23" s="5" t="str">
        <f>INDEX(base_fish!E:E,MATCH(use_fish!B23,base_fish!A:A,0))&amp;_xlfn.IFNA("+"&amp;INDEX(activity!H:H,MATCH(use_fish!C23,activity!A:A,0)),"")</f>
        <v>蓝灯鱼+免费子弹</v>
      </c>
      <c r="H23" s="2">
        <f>LOOKUP(use_fish!B23,base_fish!A:A,base_fish!F:F)+_xlfn.IFNA(INDEX(activity!G:G,MATCH(use_fish!C23,activity!A:A,0)),0)</f>
        <v>70</v>
      </c>
      <c r="I23">
        <v>1</v>
      </c>
      <c r="J23">
        <f>LOOKUP(use_fish!B23,base_fish!A:A,base_fish!G:G)</f>
        <v>0</v>
      </c>
      <c r="K23">
        <f>LOOKUP(use_fish!B23,base_fish!A:A,base_fish!F:F)</f>
        <v>20</v>
      </c>
      <c r="L23">
        <v>1</v>
      </c>
    </row>
    <row r="24" spans="1:12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LOOKUP(use_fish!B24,base_fish!A:A,base_fish!C:C)+_xlfn.IFNA(INDEX(activity!G:G,MATCH(use_fish!C24,activity!A:A,0)),0)</f>
        <v>70</v>
      </c>
      <c r="E24" s="2">
        <f t="shared" si="1"/>
        <v>1.4285714285714285E-2</v>
      </c>
      <c r="F24" s="2" t="s">
        <v>28</v>
      </c>
      <c r="G24" s="5" t="str">
        <f>INDEX(base_fish!E:E,MATCH(use_fish!B24,base_fish!A:A,0))&amp;_xlfn.IFNA("+"&amp;INDEX(activity!H:H,MATCH(use_fish!C24,activity!A:A,0)),"")</f>
        <v>蓝灯鱼+闪电</v>
      </c>
      <c r="H24" s="2">
        <f>LOOKUP(use_fish!B24,base_fish!A:A,base_fish!F:F)+_xlfn.IFNA(INDEX(activity!G:G,MATCH(use_fish!C24,activity!A:A,0)),0)</f>
        <v>70</v>
      </c>
      <c r="I24">
        <v>1</v>
      </c>
      <c r="J24">
        <f>LOOKUP(use_fish!B24,base_fish!A:A,base_fish!G:G)</f>
        <v>0</v>
      </c>
      <c r="K24">
        <f>LOOKUP(use_fish!B24,base_fish!A:A,base_fish!F:F)</f>
        <v>20</v>
      </c>
      <c r="L24">
        <v>1</v>
      </c>
    </row>
    <row r="25" spans="1:12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LOOKUP(use_fish!B25,base_fish!A:A,base_fish!C:C)+_xlfn.IFNA(INDEX(activity!G:G,MATCH(use_fish!C25,activity!A:A,0)),0)</f>
        <v>93</v>
      </c>
      <c r="E25" s="2">
        <f t="shared" si="1"/>
        <v>1.0752688172043012E-2</v>
      </c>
      <c r="F25" s="2" t="s">
        <v>28</v>
      </c>
      <c r="G25" s="5" t="str">
        <f>INDEX(base_fish!E:E,MATCH(use_fish!B25,base_fish!A:A,0))&amp;_xlfn.IFNA("+"&amp;INDEX(activity!H:H,MATCH(use_fish!C25,activity!A:A,0)),"")</f>
        <v>红杉鱼+威力提升</v>
      </c>
      <c r="H25" s="2">
        <f>LOOKUP(use_fish!B25,base_fish!A:A,base_fish!F:F)+_xlfn.IFNA(INDEX(activity!G:G,MATCH(use_fish!C25,activity!A:A,0)),0)</f>
        <v>93</v>
      </c>
      <c r="I25">
        <v>1</v>
      </c>
      <c r="J25">
        <f>LOOKUP(use_fish!B25,base_fish!A:A,base_fish!G:G)</f>
        <v>0</v>
      </c>
      <c r="K25">
        <f>LOOKUP(use_fish!B25,base_fish!A:A,base_fish!F:F)</f>
        <v>30</v>
      </c>
      <c r="L25">
        <v>1</v>
      </c>
    </row>
    <row r="26" spans="1:12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LOOKUP(use_fish!B26,base_fish!A:A,base_fish!C:C)+_xlfn.IFNA(INDEX(activity!G:G,MATCH(use_fish!C26,activity!A:A,0)),0)</f>
        <v>93</v>
      </c>
      <c r="E26" s="2">
        <f t="shared" si="1"/>
        <v>1.0752688172043012E-2</v>
      </c>
      <c r="F26" s="2" t="s">
        <v>28</v>
      </c>
      <c r="G26" s="5" t="str">
        <f>INDEX(base_fish!E:E,MATCH(use_fish!B26,base_fish!A:A,0))&amp;_xlfn.IFNA("+"&amp;INDEX(activity!H:H,MATCH(use_fish!C26,activity!A:A,0)),"")</f>
        <v>红杉鱼+暴击时刻</v>
      </c>
      <c r="H26" s="2">
        <f>LOOKUP(use_fish!B26,base_fish!A:A,base_fish!F:F)+_xlfn.IFNA(INDEX(activity!G:G,MATCH(use_fish!C26,activity!A:A,0)),0)</f>
        <v>93</v>
      </c>
      <c r="I26">
        <v>1</v>
      </c>
      <c r="J26">
        <f>LOOKUP(use_fish!B26,base_fish!A:A,base_fish!G:G)</f>
        <v>0</v>
      </c>
      <c r="K26">
        <f>LOOKUP(use_fish!B26,base_fish!A:A,base_fish!F:F)</f>
        <v>30</v>
      </c>
      <c r="L26">
        <v>1</v>
      </c>
    </row>
    <row r="27" spans="1:12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LOOKUP(use_fish!B27,base_fish!A:A,base_fish!C:C)+_xlfn.IFNA(INDEX(activity!G:G,MATCH(use_fish!C27,activity!A:A,0)),0)</f>
        <v>80</v>
      </c>
      <c r="E27" s="2">
        <f t="shared" si="1"/>
        <v>1.2500000000000001E-2</v>
      </c>
      <c r="F27" s="2" t="s">
        <v>28</v>
      </c>
      <c r="G27" s="5" t="str">
        <f>INDEX(base_fish!E:E,MATCH(use_fish!B27,base_fish!A:A,0))&amp;_xlfn.IFNA("+"&amp;INDEX(activity!H:H,MATCH(use_fish!C27,activity!A:A,0)),"")</f>
        <v>红杉鱼+闪电</v>
      </c>
      <c r="H27" s="2">
        <f>LOOKUP(use_fish!B27,base_fish!A:A,base_fish!F:F)+_xlfn.IFNA(INDEX(activity!G:G,MATCH(use_fish!C27,activity!A:A,0)),0)</f>
        <v>80</v>
      </c>
      <c r="I27">
        <v>1</v>
      </c>
      <c r="J27">
        <f>LOOKUP(use_fish!B27,base_fish!A:A,base_fish!G:G)</f>
        <v>0</v>
      </c>
      <c r="K27">
        <f>LOOKUP(use_fish!B27,base_fish!A:A,base_fish!F:F)</f>
        <v>30</v>
      </c>
      <c r="L27">
        <v>1</v>
      </c>
    </row>
    <row r="28" spans="1:12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LOOKUP(use_fish!B28,base_fish!A:A,base_fish!C:C)+_xlfn.IFNA(INDEX(activity!G:G,MATCH(use_fish!C28,activity!A:A,0)),0)</f>
        <v>80</v>
      </c>
      <c r="E28" s="2">
        <f t="shared" si="1"/>
        <v>1.2500000000000001E-2</v>
      </c>
      <c r="F28" s="2" t="s">
        <v>28</v>
      </c>
      <c r="G28" s="5" t="str">
        <f>INDEX(base_fish!E:E,MATCH(use_fish!B28,base_fish!A:A,0))&amp;_xlfn.IFNA("+"&amp;INDEX(activity!H:H,MATCH(use_fish!C28,activity!A:A,0)),"")</f>
        <v>红杉鱼+免费子弹</v>
      </c>
      <c r="H28" s="2">
        <f>LOOKUP(use_fish!B28,base_fish!A:A,base_fish!F:F)+_xlfn.IFNA(INDEX(activity!G:G,MATCH(use_fish!C28,activity!A:A,0)),0)</f>
        <v>80</v>
      </c>
      <c r="I28">
        <v>1</v>
      </c>
      <c r="J28">
        <f>LOOKUP(use_fish!B28,base_fish!A:A,base_fish!G:G)</f>
        <v>0</v>
      </c>
      <c r="K28">
        <f>LOOKUP(use_fish!B28,base_fish!A:A,base_fish!F:F)</f>
        <v>30</v>
      </c>
      <c r="L28">
        <v>1</v>
      </c>
    </row>
    <row r="29" spans="1:12" x14ac:dyDescent="0.2">
      <c r="A29" s="3">
        <v>28</v>
      </c>
      <c r="B29" s="3">
        <v>7</v>
      </c>
      <c r="C29" s="3"/>
      <c r="D29" s="2">
        <f>LOOKUP(use_fish!B29,base_fish!A:A,base_fish!C:C)+_xlfn.IFNA(INDEX(activity!G:G,MATCH(use_fish!C29,activity!A:A,0)),0)</f>
        <v>30</v>
      </c>
      <c r="E29" s="2">
        <f t="shared" si="1"/>
        <v>3.3333333333333333E-2</v>
      </c>
      <c r="F29" s="2" t="s">
        <v>28</v>
      </c>
      <c r="G29" s="5" t="str">
        <f>INDEX(base_fish!E:E,MATCH(use_fish!B29,base_fish!A:A,0))&amp;_xlfn.IFNA("+"&amp;INDEX(activity!H:H,MATCH(use_fish!C29,activity!A:A,0)),"")</f>
        <v>红杉鱼</v>
      </c>
      <c r="H29" s="2">
        <f>LOOKUP(use_fish!B29,base_fish!A:A,base_fish!F:F)+_xlfn.IFNA(INDEX(activity!G:G,MATCH(use_fish!C29,activity!A:A,0)),0)</f>
        <v>30</v>
      </c>
      <c r="I29">
        <v>1</v>
      </c>
      <c r="J29">
        <f>LOOKUP(use_fish!B29,base_fish!A:A,base_fish!G:G)</f>
        <v>0</v>
      </c>
      <c r="K29">
        <f>LOOKUP(use_fish!B29,base_fish!A:A,base_fish!F:F)</f>
        <v>30</v>
      </c>
      <c r="L29">
        <v>1</v>
      </c>
    </row>
    <row r="30" spans="1:12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LOOKUP(use_fish!B30,base_fish!A:A,base_fish!C:C)+_xlfn.IFNA(INDEX(activity!G:G,MATCH(use_fish!C30,activity!A:A,0)),0)</f>
        <v>103</v>
      </c>
      <c r="E30" s="2">
        <f t="shared" si="1"/>
        <v>9.7087378640776691E-3</v>
      </c>
      <c r="F30" s="2" t="s">
        <v>28</v>
      </c>
      <c r="G30" s="5" t="str">
        <f>INDEX(base_fish!E:E,MATCH(use_fish!B30,base_fish!A:A,0))&amp;_xlfn.IFNA("+"&amp;INDEX(activity!H:H,MATCH(use_fish!C30,activity!A:A,0)),"")</f>
        <v>海龟+威力提升</v>
      </c>
      <c r="H30" s="2">
        <f>LOOKUP(use_fish!B30,base_fish!A:A,base_fish!F:F)+_xlfn.IFNA(INDEX(activity!G:G,MATCH(use_fish!C30,activity!A:A,0)),0)</f>
        <v>103</v>
      </c>
      <c r="I30">
        <v>1</v>
      </c>
      <c r="J30">
        <f>LOOKUP(use_fish!B30,base_fish!A:A,base_fish!G:G)</f>
        <v>0</v>
      </c>
      <c r="K30">
        <f>LOOKUP(use_fish!B30,base_fish!A:A,base_fish!F:F)</f>
        <v>40</v>
      </c>
      <c r="L30">
        <v>1</v>
      </c>
    </row>
    <row r="31" spans="1:12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LOOKUP(use_fish!B31,base_fish!A:A,base_fish!C:C)+_xlfn.IFNA(INDEX(activity!G:G,MATCH(use_fish!C31,activity!A:A,0)),0)</f>
        <v>103</v>
      </c>
      <c r="E31" s="2">
        <f t="shared" si="1"/>
        <v>9.7087378640776691E-3</v>
      </c>
      <c r="F31" s="2" t="s">
        <v>28</v>
      </c>
      <c r="G31" s="5" t="str">
        <f>INDEX(base_fish!E:E,MATCH(use_fish!B31,base_fish!A:A,0))&amp;_xlfn.IFNA("+"&amp;INDEX(activity!H:H,MATCH(use_fish!C31,activity!A:A,0)),"")</f>
        <v>海龟+暴击时刻</v>
      </c>
      <c r="H31" s="2">
        <f>LOOKUP(use_fish!B31,base_fish!A:A,base_fish!F:F)+_xlfn.IFNA(INDEX(activity!G:G,MATCH(use_fish!C31,activity!A:A,0)),0)</f>
        <v>103</v>
      </c>
      <c r="I31">
        <v>1</v>
      </c>
      <c r="J31">
        <f>LOOKUP(use_fish!B31,base_fish!A:A,base_fish!G:G)</f>
        <v>0</v>
      </c>
      <c r="K31">
        <f>LOOKUP(use_fish!B31,base_fish!A:A,base_fish!F:F)</f>
        <v>40</v>
      </c>
      <c r="L31">
        <v>1</v>
      </c>
    </row>
    <row r="32" spans="1:12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LOOKUP(use_fish!B32,base_fish!A:A,base_fish!C:C)+_xlfn.IFNA(INDEX(activity!G:G,MATCH(use_fish!C32,activity!A:A,0)),0)</f>
        <v>90</v>
      </c>
      <c r="E32" s="2">
        <f t="shared" si="1"/>
        <v>1.1111111111111112E-2</v>
      </c>
      <c r="F32" s="2" t="s">
        <v>28</v>
      </c>
      <c r="G32" s="5" t="str">
        <f>INDEX(base_fish!E:E,MATCH(use_fish!B32,base_fish!A:A,0))&amp;_xlfn.IFNA("+"&amp;INDEX(activity!H:H,MATCH(use_fish!C32,activity!A:A,0)),"")</f>
        <v>海龟+闪电</v>
      </c>
      <c r="H32" s="2">
        <f>LOOKUP(use_fish!B32,base_fish!A:A,base_fish!F:F)+_xlfn.IFNA(INDEX(activity!G:G,MATCH(use_fish!C32,activity!A:A,0)),0)</f>
        <v>90</v>
      </c>
      <c r="I32">
        <v>1</v>
      </c>
      <c r="J32">
        <f>LOOKUP(use_fish!B32,base_fish!A:A,base_fish!G:G)</f>
        <v>0</v>
      </c>
      <c r="K32">
        <f>LOOKUP(use_fish!B32,base_fish!A:A,base_fish!F:F)</f>
        <v>40</v>
      </c>
      <c r="L32">
        <v>1</v>
      </c>
    </row>
    <row r="33" spans="1:12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LOOKUP(use_fish!B33,base_fish!A:A,base_fish!C:C)+_xlfn.IFNA(INDEX(activity!G:G,MATCH(use_fish!C33,activity!A:A,0)),0)</f>
        <v>90</v>
      </c>
      <c r="E33" s="2">
        <f t="shared" si="1"/>
        <v>1.1111111111111112E-2</v>
      </c>
      <c r="F33" s="2" t="s">
        <v>28</v>
      </c>
      <c r="G33" s="5" t="str">
        <f>INDEX(base_fish!E:E,MATCH(use_fish!B33,base_fish!A:A,0))&amp;_xlfn.IFNA("+"&amp;INDEX(activity!H:H,MATCH(use_fish!C33,activity!A:A,0)),"")</f>
        <v>海龟+免费子弹</v>
      </c>
      <c r="H33" s="2">
        <f>LOOKUP(use_fish!B33,base_fish!A:A,base_fish!F:F)+_xlfn.IFNA(INDEX(activity!G:G,MATCH(use_fish!C33,activity!A:A,0)),0)</f>
        <v>90</v>
      </c>
      <c r="I33">
        <v>1</v>
      </c>
      <c r="J33">
        <f>LOOKUP(use_fish!B33,base_fish!A:A,base_fish!G:G)</f>
        <v>0</v>
      </c>
      <c r="K33">
        <f>LOOKUP(use_fish!B33,base_fish!A:A,base_fish!F:F)</f>
        <v>40</v>
      </c>
      <c r="L33">
        <v>1</v>
      </c>
    </row>
    <row r="34" spans="1:12" x14ac:dyDescent="0.2">
      <c r="A34" s="3">
        <v>33</v>
      </c>
      <c r="B34" s="3">
        <v>8</v>
      </c>
      <c r="C34" s="3"/>
      <c r="D34" s="2">
        <f>LOOKUP(use_fish!B34,base_fish!A:A,base_fish!C:C)+_xlfn.IFNA(INDEX(activity!G:G,MATCH(use_fish!C34,activity!A:A,0)),0)</f>
        <v>40</v>
      </c>
      <c r="E34" s="2">
        <f t="shared" si="1"/>
        <v>2.5000000000000001E-2</v>
      </c>
      <c r="F34" s="2" t="s">
        <v>28</v>
      </c>
      <c r="G34" s="5" t="str">
        <f>INDEX(base_fish!E:E,MATCH(use_fish!B34,base_fish!A:A,0))&amp;_xlfn.IFNA("+"&amp;INDEX(activity!H:H,MATCH(use_fish!C34,activity!A:A,0)),"")</f>
        <v>海龟</v>
      </c>
      <c r="H34" s="2">
        <f>LOOKUP(use_fish!B34,base_fish!A:A,base_fish!F:F)+_xlfn.IFNA(INDEX(activity!G:G,MATCH(use_fish!C34,activity!A:A,0)),0)</f>
        <v>40</v>
      </c>
      <c r="I34">
        <v>1</v>
      </c>
      <c r="J34">
        <f>LOOKUP(use_fish!B34,base_fish!A:A,base_fish!G:G)</f>
        <v>0</v>
      </c>
      <c r="K34">
        <f>LOOKUP(use_fish!B34,base_fish!A:A,base_fish!F:F)</f>
        <v>40</v>
      </c>
      <c r="L34">
        <v>1</v>
      </c>
    </row>
    <row r="35" spans="1:12" x14ac:dyDescent="0.2">
      <c r="A35" s="3">
        <v>34</v>
      </c>
      <c r="B35" s="3">
        <v>8</v>
      </c>
      <c r="C35" s="3">
        <v>3</v>
      </c>
      <c r="D35" s="2">
        <f>LOOKUP(use_fish!B35,base_fish!A:A,base_fish!C:C)+_xlfn.IFNA(INDEX(activity!G:G,MATCH(use_fish!C35,activity!A:A,0)),0)</f>
        <v>103</v>
      </c>
      <c r="E35" s="2">
        <f t="shared" si="1"/>
        <v>9.7087378640776691E-3</v>
      </c>
      <c r="F35" s="2" t="s">
        <v>28</v>
      </c>
      <c r="G35" s="5" t="str">
        <f>INDEX(base_fish!E:E,MATCH(use_fish!B35,base_fish!A:A,0))&amp;_xlfn.IFNA("+"&amp;INDEX(activity!H:H,MATCH(use_fish!C35,activity!A:A,0)),"")</f>
        <v>海龟+暴击时刻</v>
      </c>
      <c r="H35" s="2">
        <f>LOOKUP(use_fish!B35,base_fish!A:A,base_fish!F:F)+_xlfn.IFNA(INDEX(activity!G:G,MATCH(use_fish!C35,activity!A:A,0)),0)</f>
        <v>103</v>
      </c>
      <c r="I35">
        <v>1</v>
      </c>
      <c r="J35">
        <f>LOOKUP(use_fish!B35,base_fish!A:A,base_fish!G:G)</f>
        <v>0</v>
      </c>
      <c r="K35">
        <f>LOOKUP(use_fish!B35,base_fish!A:A,base_fish!F:F)</f>
        <v>40</v>
      </c>
      <c r="L35">
        <v>1</v>
      </c>
    </row>
    <row r="36" spans="1:12" x14ac:dyDescent="0.2">
      <c r="A36" s="3">
        <v>35</v>
      </c>
      <c r="B36" s="3">
        <v>8</v>
      </c>
      <c r="C36" s="3">
        <v>3</v>
      </c>
      <c r="D36" s="2">
        <f>LOOKUP(use_fish!B36,base_fish!A:A,base_fish!C:C)+_xlfn.IFNA(INDEX(activity!G:G,MATCH(use_fish!C36,activity!A:A,0)),0)</f>
        <v>103</v>
      </c>
      <c r="E36" s="2">
        <f t="shared" si="1"/>
        <v>9.7087378640776691E-3</v>
      </c>
      <c r="F36" s="2" t="s">
        <v>28</v>
      </c>
      <c r="G36" s="5" t="str">
        <f>INDEX(base_fish!E:E,MATCH(use_fish!B36,base_fish!A:A,0))&amp;_xlfn.IFNA("+"&amp;INDEX(activity!H:H,MATCH(use_fish!C36,activity!A:A,0)),"")</f>
        <v>海龟+暴击时刻</v>
      </c>
      <c r="H36" s="2">
        <f>LOOKUP(use_fish!B36,base_fish!A:A,base_fish!F:F)+_xlfn.IFNA(INDEX(activity!G:G,MATCH(use_fish!C36,activity!A:A,0)),0)</f>
        <v>103</v>
      </c>
      <c r="I36">
        <v>1</v>
      </c>
      <c r="J36">
        <f>LOOKUP(use_fish!B36,base_fish!A:A,base_fish!G:G)</f>
        <v>0</v>
      </c>
      <c r="K36">
        <f>LOOKUP(use_fish!B36,base_fish!A:A,base_fish!F:F)</f>
        <v>40</v>
      </c>
      <c r="L36">
        <v>1</v>
      </c>
    </row>
    <row r="37" spans="1:12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LOOKUP(use_fish!B37,base_fish!A:A,base_fish!C:C)+_xlfn.IFNA(INDEX(activity!G:G,MATCH(use_fish!C37,activity!A:A,0)),0)</f>
        <v>113</v>
      </c>
      <c r="E37" s="2">
        <f t="shared" ref="E37:E42" si="2">1/D37</f>
        <v>8.8495575221238937E-3</v>
      </c>
      <c r="F37" s="2" t="s">
        <v>28</v>
      </c>
      <c r="G37" s="5" t="str">
        <f>INDEX(base_fish!E:E,MATCH(use_fish!B37,base_fish!A:A,0))&amp;_xlfn.IFNA("+"&amp;INDEX(activity!H:H,MATCH(use_fish!C37,activity!A:A,0)),"")</f>
        <v>灯笼鱼+威力提升</v>
      </c>
      <c r="H37" s="2">
        <f>LOOKUP(use_fish!B37,base_fish!A:A,base_fish!F:F)+_xlfn.IFNA(INDEX(activity!G:G,MATCH(use_fish!C37,activity!A:A,0)),0)</f>
        <v>113</v>
      </c>
      <c r="I37">
        <v>1</v>
      </c>
      <c r="J37">
        <f>LOOKUP(use_fish!B37,base_fish!A:A,base_fish!G:G)</f>
        <v>0</v>
      </c>
      <c r="K37">
        <f>LOOKUP(use_fish!B37,base_fish!A:A,base_fish!F:F)</f>
        <v>50</v>
      </c>
      <c r="L37">
        <v>1</v>
      </c>
    </row>
    <row r="38" spans="1:12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LOOKUP(use_fish!B38,base_fish!A:A,base_fish!C:C)+_xlfn.IFNA(INDEX(activity!G:G,MATCH(use_fish!C38,activity!A:A,0)),0)</f>
        <v>113</v>
      </c>
      <c r="E38" s="2">
        <f t="shared" si="2"/>
        <v>8.8495575221238937E-3</v>
      </c>
      <c r="F38" s="2" t="s">
        <v>28</v>
      </c>
      <c r="G38" s="5" t="str">
        <f>INDEX(base_fish!E:E,MATCH(use_fish!B38,base_fish!A:A,0))&amp;_xlfn.IFNA("+"&amp;INDEX(activity!H:H,MATCH(use_fish!C38,activity!A:A,0)),"")</f>
        <v>灯笼鱼+暴击时刻</v>
      </c>
      <c r="H38" s="2">
        <f>LOOKUP(use_fish!B38,base_fish!A:A,base_fish!F:F)+_xlfn.IFNA(INDEX(activity!G:G,MATCH(use_fish!C38,activity!A:A,0)),0)</f>
        <v>113</v>
      </c>
      <c r="I38">
        <v>1</v>
      </c>
      <c r="J38">
        <f>LOOKUP(use_fish!B38,base_fish!A:A,base_fish!G:G)</f>
        <v>0</v>
      </c>
      <c r="K38">
        <f>LOOKUP(use_fish!B38,base_fish!A:A,base_fish!F:F)</f>
        <v>50</v>
      </c>
      <c r="L38">
        <v>1</v>
      </c>
    </row>
    <row r="39" spans="1:12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LOOKUP(use_fish!B39,base_fish!A:A,base_fish!C:C)+_xlfn.IFNA(INDEX(activity!G:G,MATCH(use_fish!C39,activity!A:A,0)),0)</f>
        <v>100</v>
      </c>
      <c r="E39" s="2">
        <f t="shared" si="2"/>
        <v>0.01</v>
      </c>
      <c r="F39" s="2" t="s">
        <v>28</v>
      </c>
      <c r="G39" s="5" t="str">
        <f>INDEX(base_fish!E:E,MATCH(use_fish!B39,base_fish!A:A,0))&amp;_xlfn.IFNA("+"&amp;INDEX(activity!H:H,MATCH(use_fish!C39,activity!A:A,0)),"")</f>
        <v>灯笼鱼+闪电</v>
      </c>
      <c r="H39" s="2">
        <f>LOOKUP(use_fish!B39,base_fish!A:A,base_fish!F:F)+_xlfn.IFNA(INDEX(activity!G:G,MATCH(use_fish!C39,activity!A:A,0)),0)</f>
        <v>100</v>
      </c>
      <c r="I39">
        <v>1</v>
      </c>
      <c r="J39">
        <f>LOOKUP(use_fish!B39,base_fish!A:A,base_fish!G:G)</f>
        <v>0</v>
      </c>
      <c r="K39">
        <f>LOOKUP(use_fish!B39,base_fish!A:A,base_fish!F:F)</f>
        <v>50</v>
      </c>
      <c r="L39">
        <v>1</v>
      </c>
    </row>
    <row r="40" spans="1:12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LOOKUP(use_fish!B40,base_fish!A:A,base_fish!C:C)+_xlfn.IFNA(INDEX(activity!G:G,MATCH(use_fish!C40,activity!A:A,0)),0)</f>
        <v>100</v>
      </c>
      <c r="E40" s="2">
        <f t="shared" si="2"/>
        <v>0.01</v>
      </c>
      <c r="F40" s="2" t="s">
        <v>28</v>
      </c>
      <c r="G40" s="5" t="str">
        <f>INDEX(base_fish!E:E,MATCH(use_fish!B40,base_fish!A:A,0))&amp;_xlfn.IFNA("+"&amp;INDEX(activity!H:H,MATCH(use_fish!C40,activity!A:A,0)),"")</f>
        <v>灯笼鱼+免费子弹</v>
      </c>
      <c r="H40" s="2">
        <f>LOOKUP(use_fish!B40,base_fish!A:A,base_fish!F:F)+_xlfn.IFNA(INDEX(activity!G:G,MATCH(use_fish!C40,activity!A:A,0)),0)</f>
        <v>100</v>
      </c>
      <c r="I40">
        <v>1</v>
      </c>
      <c r="J40">
        <f>LOOKUP(use_fish!B40,base_fish!A:A,base_fish!G:G)</f>
        <v>0</v>
      </c>
      <c r="K40">
        <f>LOOKUP(use_fish!B40,base_fish!A:A,base_fish!F:F)</f>
        <v>50</v>
      </c>
      <c r="L40">
        <v>1</v>
      </c>
    </row>
    <row r="41" spans="1:12" x14ac:dyDescent="0.2">
      <c r="A41" s="3">
        <v>40</v>
      </c>
      <c r="B41" s="3">
        <v>9</v>
      </c>
      <c r="C41" s="3"/>
      <c r="D41" s="2">
        <f>LOOKUP(use_fish!B41,base_fish!A:A,base_fish!C:C)+_xlfn.IFNA(INDEX(activity!G:G,MATCH(use_fish!C41,activity!A:A,0)),0)</f>
        <v>50</v>
      </c>
      <c r="E41" s="2">
        <f t="shared" si="2"/>
        <v>0.02</v>
      </c>
      <c r="F41" s="2" t="s">
        <v>28</v>
      </c>
      <c r="G41" s="5" t="str">
        <f>INDEX(base_fish!E:E,MATCH(use_fish!B41,base_fish!A:A,0))&amp;_xlfn.IFNA("+"&amp;INDEX(activity!H:H,MATCH(use_fish!C41,activity!A:A,0)),"")</f>
        <v>灯笼鱼</v>
      </c>
      <c r="H41" s="2">
        <f>LOOKUP(use_fish!B41,base_fish!A:A,base_fish!F:F)+_xlfn.IFNA(INDEX(activity!G:G,MATCH(use_fish!C41,activity!A:A,0)),0)</f>
        <v>50</v>
      </c>
      <c r="I41">
        <v>1</v>
      </c>
      <c r="J41">
        <f>LOOKUP(use_fish!B41,base_fish!A:A,base_fish!G:G)</f>
        <v>0</v>
      </c>
      <c r="K41">
        <f>LOOKUP(use_fish!B41,base_fish!A:A,base_fish!F:F)</f>
        <v>50</v>
      </c>
      <c r="L41">
        <v>1</v>
      </c>
    </row>
    <row r="42" spans="1:12" x14ac:dyDescent="0.2">
      <c r="A42" s="3">
        <v>41</v>
      </c>
      <c r="B42" s="3">
        <v>9</v>
      </c>
      <c r="C42" s="3">
        <v>3</v>
      </c>
      <c r="D42" s="2">
        <f>LOOKUP(use_fish!B42,base_fish!A:A,base_fish!C:C)+_xlfn.IFNA(INDEX(activity!G:G,MATCH(use_fish!C42,activity!A:A,0)),0)</f>
        <v>113</v>
      </c>
      <c r="E42" s="2">
        <f t="shared" si="2"/>
        <v>8.8495575221238937E-3</v>
      </c>
      <c r="F42" s="2" t="s">
        <v>28</v>
      </c>
      <c r="G42" s="5" t="str">
        <f>INDEX(base_fish!E:E,MATCH(use_fish!B42,base_fish!A:A,0))&amp;_xlfn.IFNA("+"&amp;INDEX(activity!H:H,MATCH(use_fish!C42,activity!A:A,0)),"")</f>
        <v>灯笼鱼+暴击时刻</v>
      </c>
      <c r="H42" s="2">
        <f>LOOKUP(use_fish!B42,base_fish!A:A,base_fish!F:F)+_xlfn.IFNA(INDEX(activity!G:G,MATCH(use_fish!C42,activity!A:A,0)),0)</f>
        <v>113</v>
      </c>
      <c r="I42">
        <v>1</v>
      </c>
      <c r="J42">
        <f>LOOKUP(use_fish!B42,base_fish!A:A,base_fish!G:G)</f>
        <v>0</v>
      </c>
      <c r="K42">
        <f>LOOKUP(use_fish!B42,base_fish!A:A,base_fish!F:F)</f>
        <v>50</v>
      </c>
      <c r="L42">
        <v>1</v>
      </c>
    </row>
    <row r="43" spans="1:12" x14ac:dyDescent="0.2">
      <c r="A43" s="3">
        <v>42</v>
      </c>
      <c r="B43" s="3">
        <v>9</v>
      </c>
      <c r="C43" s="3">
        <v>3</v>
      </c>
      <c r="D43" s="2">
        <f>LOOKUP(use_fish!B43,base_fish!A:A,base_fish!C:C)+_xlfn.IFNA(INDEX(activity!G:G,MATCH(use_fish!C43,activity!A:A,0)),0)</f>
        <v>113</v>
      </c>
      <c r="E43" s="2">
        <f>1/D43</f>
        <v>8.8495575221238937E-3</v>
      </c>
      <c r="F43" s="2" t="s">
        <v>28</v>
      </c>
      <c r="G43" s="5" t="str">
        <f>INDEX(base_fish!E:E,MATCH(use_fish!B43,base_fish!A:A,0))&amp;_xlfn.IFNA("+"&amp;INDEX(activity!H:H,MATCH(use_fish!C43,activity!A:A,0)),"")</f>
        <v>灯笼鱼+暴击时刻</v>
      </c>
      <c r="H43" s="2">
        <f>LOOKUP(use_fish!B43,base_fish!A:A,base_fish!F:F)+_xlfn.IFNA(INDEX(activity!G:G,MATCH(use_fish!C43,activity!A:A,0)),0)</f>
        <v>113</v>
      </c>
      <c r="I43">
        <v>1</v>
      </c>
      <c r="J43">
        <f>LOOKUP(use_fish!B43,base_fish!A:A,base_fish!G:G)</f>
        <v>0</v>
      </c>
      <c r="K43">
        <f>LOOKUP(use_fish!B43,base_fish!A:A,base_fish!F:F)</f>
        <v>50</v>
      </c>
      <c r="L43">
        <v>1</v>
      </c>
    </row>
    <row r="44" spans="1:12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LOOKUP(use_fish!B44,base_fish!A:A,base_fish!C:C)+_xlfn.IFNA(INDEX(activity!G:G,MATCH(use_fish!C44,activity!A:A,0)),0)</f>
        <v>80</v>
      </c>
      <c r="E44" s="2">
        <f>1/D44</f>
        <v>1.2500000000000001E-2</v>
      </c>
      <c r="F44" s="2" t="s">
        <v>28</v>
      </c>
      <c r="G44" s="5" t="str">
        <f>INDEX(base_fish!E:E,MATCH(use_fish!B44,base_fish!A:A,0))&amp;_xlfn.IFNA("+"&amp;INDEX(activity!H:H,MATCH(use_fish!C44,activity!A:A,0)),"")</f>
        <v>灯笼鱼+炸弹</v>
      </c>
      <c r="H44" s="2">
        <f>LOOKUP(use_fish!B44,base_fish!A:A,base_fish!F:F)+_xlfn.IFNA(INDEX(activity!G:G,MATCH(use_fish!C44,activity!A:A,0)),0)</f>
        <v>80</v>
      </c>
      <c r="I44">
        <v>1</v>
      </c>
      <c r="J44">
        <f>LOOKUP(use_fish!B44,base_fish!A:A,base_fish!G:G)</f>
        <v>0</v>
      </c>
      <c r="K44">
        <f>LOOKUP(use_fish!B44,base_fish!A:A,base_fish!F:F)</f>
        <v>50</v>
      </c>
      <c r="L44">
        <v>1</v>
      </c>
    </row>
    <row r="45" spans="1:12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LOOKUP(use_fish!B45,base_fish!A:A,base_fish!C:C)+_xlfn.IFNA(INDEX(activity!G:G,MATCH(use_fish!C45,activity!A:A,0)),0)</f>
        <v>70</v>
      </c>
      <c r="E45" s="2">
        <f>1/D45</f>
        <v>1.4285714285714285E-2</v>
      </c>
      <c r="F45" s="2" t="s">
        <v>28</v>
      </c>
      <c r="G45" s="5" t="str">
        <f>INDEX(base_fish!E:E,MATCH(use_fish!B45,base_fish!A:A,0))&amp;_xlfn.IFNA("+"&amp;INDEX(activity!H:H,MATCH(use_fish!C45,activity!A:A,0)),"")</f>
        <v>灯笼鱼+炸弹</v>
      </c>
      <c r="H45" s="2">
        <f>LOOKUP(use_fish!B45,base_fish!A:A,base_fish!F:F)+_xlfn.IFNA(INDEX(activity!G:G,MATCH(use_fish!C45,activity!A:A,0)),0)</f>
        <v>70</v>
      </c>
      <c r="I45">
        <v>1</v>
      </c>
      <c r="J45">
        <f>LOOKUP(use_fish!B45,base_fish!A:A,base_fish!G:G)</f>
        <v>0</v>
      </c>
      <c r="K45">
        <f>LOOKUP(use_fish!B45,base_fish!A:A,base_fish!F:F)</f>
        <v>50</v>
      </c>
      <c r="L45">
        <v>1</v>
      </c>
    </row>
    <row r="46" spans="1:12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LOOKUP(use_fish!B46,base_fish!A:A,base_fish!C:C)+_xlfn.IFNA(INDEX(activity!G:G,MATCH(use_fish!C46,activity!A:A,0)),0)</f>
        <v>123</v>
      </c>
      <c r="E46" s="2">
        <f t="shared" ref="E46:E51" si="3">1/D46</f>
        <v>8.130081300813009E-3</v>
      </c>
      <c r="F46" s="2" t="s">
        <v>28</v>
      </c>
      <c r="G46" s="5" t="str">
        <f>INDEX(base_fish!E:E,MATCH(use_fish!B46,base_fish!A:A,0))&amp;_xlfn.IFNA("+"&amp;INDEX(activity!H:H,MATCH(use_fish!C46,activity!A:A,0)),"")</f>
        <v>魔鬼鱼+威力提升</v>
      </c>
      <c r="H46" s="2">
        <f>LOOKUP(use_fish!B46,base_fish!A:A,base_fish!F:F)+_xlfn.IFNA(INDEX(activity!G:G,MATCH(use_fish!C46,activity!A:A,0)),0)</f>
        <v>123</v>
      </c>
      <c r="I46">
        <v>1</v>
      </c>
      <c r="J46">
        <f>LOOKUP(use_fish!B46,base_fish!A:A,base_fish!G:G)</f>
        <v>0</v>
      </c>
      <c r="K46">
        <f>LOOKUP(use_fish!B46,base_fish!A:A,base_fish!F:F)</f>
        <v>60</v>
      </c>
      <c r="L46">
        <v>1</v>
      </c>
    </row>
    <row r="47" spans="1:12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LOOKUP(use_fish!B47,base_fish!A:A,base_fish!C:C)+_xlfn.IFNA(INDEX(activity!G:G,MATCH(use_fish!C47,activity!A:A,0)),0)</f>
        <v>123</v>
      </c>
      <c r="E47" s="2">
        <f t="shared" si="3"/>
        <v>8.130081300813009E-3</v>
      </c>
      <c r="F47" s="2" t="s">
        <v>28</v>
      </c>
      <c r="G47" s="5" t="str">
        <f>INDEX(base_fish!E:E,MATCH(use_fish!B47,base_fish!A:A,0))&amp;_xlfn.IFNA("+"&amp;INDEX(activity!H:H,MATCH(use_fish!C47,activity!A:A,0)),"")</f>
        <v>魔鬼鱼+暴击时刻</v>
      </c>
      <c r="H47" s="2">
        <f>LOOKUP(use_fish!B47,base_fish!A:A,base_fish!F:F)+_xlfn.IFNA(INDEX(activity!G:G,MATCH(use_fish!C47,activity!A:A,0)),0)</f>
        <v>123</v>
      </c>
      <c r="I47">
        <v>1</v>
      </c>
      <c r="J47">
        <f>LOOKUP(use_fish!B47,base_fish!A:A,base_fish!G:G)</f>
        <v>0</v>
      </c>
      <c r="K47">
        <f>LOOKUP(use_fish!B47,base_fish!A:A,base_fish!F:F)</f>
        <v>60</v>
      </c>
      <c r="L47">
        <v>1</v>
      </c>
    </row>
    <row r="48" spans="1:12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LOOKUP(use_fish!B48,base_fish!A:A,base_fish!C:C)+_xlfn.IFNA(INDEX(activity!G:G,MATCH(use_fish!C48,activity!A:A,0)),0)</f>
        <v>110</v>
      </c>
      <c r="E48" s="2">
        <f t="shared" si="3"/>
        <v>9.0909090909090905E-3</v>
      </c>
      <c r="F48" s="2" t="s">
        <v>28</v>
      </c>
      <c r="G48" s="5" t="str">
        <f>INDEX(base_fish!E:E,MATCH(use_fish!B48,base_fish!A:A,0))&amp;_xlfn.IFNA("+"&amp;INDEX(activity!H:H,MATCH(use_fish!C48,activity!A:A,0)),"")</f>
        <v>魔鬼鱼+闪电</v>
      </c>
      <c r="H48" s="2">
        <f>LOOKUP(use_fish!B48,base_fish!A:A,base_fish!F:F)+_xlfn.IFNA(INDEX(activity!G:G,MATCH(use_fish!C48,activity!A:A,0)),0)</f>
        <v>110</v>
      </c>
      <c r="I48">
        <v>1</v>
      </c>
      <c r="J48">
        <f>LOOKUP(use_fish!B48,base_fish!A:A,base_fish!G:G)</f>
        <v>0</v>
      </c>
      <c r="K48">
        <f>LOOKUP(use_fish!B48,base_fish!A:A,base_fish!F:F)</f>
        <v>60</v>
      </c>
      <c r="L48">
        <v>1</v>
      </c>
    </row>
    <row r="49" spans="1:12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LOOKUP(use_fish!B49,base_fish!A:A,base_fish!C:C)+_xlfn.IFNA(INDEX(activity!G:G,MATCH(use_fish!C49,activity!A:A,0)),0)</f>
        <v>110</v>
      </c>
      <c r="E49" s="2">
        <f t="shared" si="3"/>
        <v>9.0909090909090905E-3</v>
      </c>
      <c r="F49" s="2" t="s">
        <v>28</v>
      </c>
      <c r="G49" s="5" t="str">
        <f>INDEX(base_fish!E:E,MATCH(use_fish!B49,base_fish!A:A,0))&amp;_xlfn.IFNA("+"&amp;INDEX(activity!H:H,MATCH(use_fish!C49,activity!A:A,0)),"")</f>
        <v>魔鬼鱼+免费子弹</v>
      </c>
      <c r="H49" s="2">
        <f>LOOKUP(use_fish!B49,base_fish!A:A,base_fish!F:F)+_xlfn.IFNA(INDEX(activity!G:G,MATCH(use_fish!C49,activity!A:A,0)),0)</f>
        <v>110</v>
      </c>
      <c r="I49">
        <v>1</v>
      </c>
      <c r="J49">
        <f>LOOKUP(use_fish!B49,base_fish!A:A,base_fish!G:G)</f>
        <v>0</v>
      </c>
      <c r="K49">
        <f>LOOKUP(use_fish!B49,base_fish!A:A,base_fish!F:F)</f>
        <v>60</v>
      </c>
      <c r="L49">
        <v>1</v>
      </c>
    </row>
    <row r="50" spans="1:12" x14ac:dyDescent="0.2">
      <c r="A50" s="3">
        <v>49</v>
      </c>
      <c r="B50" s="3">
        <v>10</v>
      </c>
      <c r="C50" s="3"/>
      <c r="D50" s="2">
        <f>LOOKUP(use_fish!B50,base_fish!A:A,base_fish!C:C)+_xlfn.IFNA(INDEX(activity!G:G,MATCH(use_fish!C50,activity!A:A,0)),0)</f>
        <v>60</v>
      </c>
      <c r="E50" s="2">
        <f t="shared" si="3"/>
        <v>1.6666666666666666E-2</v>
      </c>
      <c r="F50" s="2" t="s">
        <v>28</v>
      </c>
      <c r="G50" s="5" t="str">
        <f>INDEX(base_fish!E:E,MATCH(use_fish!B50,base_fish!A:A,0))&amp;_xlfn.IFNA("+"&amp;INDEX(activity!H:H,MATCH(use_fish!C50,activity!A:A,0)),"")</f>
        <v>魔鬼鱼</v>
      </c>
      <c r="H50" s="2">
        <f>LOOKUP(use_fish!B50,base_fish!A:A,base_fish!F:F)+_xlfn.IFNA(INDEX(activity!G:G,MATCH(use_fish!C50,activity!A:A,0)),0)</f>
        <v>60</v>
      </c>
      <c r="I50">
        <v>1</v>
      </c>
      <c r="J50">
        <f>LOOKUP(use_fish!B50,base_fish!A:A,base_fish!G:G)</f>
        <v>0</v>
      </c>
      <c r="K50">
        <f>LOOKUP(use_fish!B50,base_fish!A:A,base_fish!F:F)</f>
        <v>60</v>
      </c>
      <c r="L50">
        <v>1</v>
      </c>
    </row>
    <row r="51" spans="1:12" x14ac:dyDescent="0.2">
      <c r="A51" s="3">
        <v>50</v>
      </c>
      <c r="B51" s="3">
        <v>10</v>
      </c>
      <c r="C51" s="3">
        <v>3</v>
      </c>
      <c r="D51" s="2">
        <f>LOOKUP(use_fish!B51,base_fish!A:A,base_fish!C:C)+_xlfn.IFNA(INDEX(activity!G:G,MATCH(use_fish!C51,activity!A:A,0)),0)</f>
        <v>123</v>
      </c>
      <c r="E51" s="2">
        <f t="shared" si="3"/>
        <v>8.130081300813009E-3</v>
      </c>
      <c r="F51" s="2" t="s">
        <v>28</v>
      </c>
      <c r="G51" s="5" t="str">
        <f>INDEX(base_fish!E:E,MATCH(use_fish!B51,base_fish!A:A,0))&amp;_xlfn.IFNA("+"&amp;INDEX(activity!H:H,MATCH(use_fish!C51,activity!A:A,0)),"")</f>
        <v>魔鬼鱼+暴击时刻</v>
      </c>
      <c r="H51" s="2">
        <f>LOOKUP(use_fish!B51,base_fish!A:A,base_fish!F:F)+_xlfn.IFNA(INDEX(activity!G:G,MATCH(use_fish!C51,activity!A:A,0)),0)</f>
        <v>123</v>
      </c>
      <c r="I51">
        <v>1</v>
      </c>
      <c r="J51">
        <f>LOOKUP(use_fish!B51,base_fish!A:A,base_fish!G:G)</f>
        <v>0</v>
      </c>
      <c r="K51">
        <f>LOOKUP(use_fish!B51,base_fish!A:A,base_fish!F:F)</f>
        <v>60</v>
      </c>
      <c r="L51">
        <v>1</v>
      </c>
    </row>
    <row r="52" spans="1:12" x14ac:dyDescent="0.2">
      <c r="A52" s="3">
        <v>51</v>
      </c>
      <c r="B52" s="3">
        <v>10</v>
      </c>
      <c r="C52" s="3"/>
      <c r="D52" s="2">
        <f>LOOKUP(use_fish!B52,base_fish!A:A,base_fish!C:C)+_xlfn.IFNA(INDEX(activity!G:G,MATCH(use_fish!C52,activity!A:A,0)),0)</f>
        <v>60</v>
      </c>
      <c r="E52" s="2">
        <f>1/D52</f>
        <v>1.6666666666666666E-2</v>
      </c>
      <c r="F52" s="2" t="s">
        <v>28</v>
      </c>
      <c r="G52" s="5" t="str">
        <f>INDEX(base_fish!E:E,MATCH(use_fish!B52,base_fish!A:A,0))&amp;_xlfn.IFNA("+"&amp;INDEX(activity!H:H,MATCH(use_fish!C52,activity!A:A,0)),"")</f>
        <v>魔鬼鱼</v>
      </c>
      <c r="H52" s="2">
        <f>LOOKUP(use_fish!B52,base_fish!A:A,base_fish!F:F)+_xlfn.IFNA(INDEX(activity!G:G,MATCH(use_fish!C52,activity!A:A,0)),0)</f>
        <v>60</v>
      </c>
      <c r="I52">
        <v>1</v>
      </c>
      <c r="J52">
        <f>LOOKUP(use_fish!B52,base_fish!A:A,base_fish!G:G)</f>
        <v>0</v>
      </c>
      <c r="K52">
        <f>LOOKUP(use_fish!B52,base_fish!A:A,base_fish!F:F)</f>
        <v>60</v>
      </c>
      <c r="L52">
        <v>1</v>
      </c>
    </row>
    <row r="53" spans="1:12" x14ac:dyDescent="0.2">
      <c r="A53" s="3">
        <v>52</v>
      </c>
      <c r="B53" s="3">
        <v>10</v>
      </c>
      <c r="C53" s="3"/>
      <c r="D53" s="2">
        <f>LOOKUP(use_fish!B53,base_fish!A:A,base_fish!C:C)+_xlfn.IFNA(INDEX(activity!G:G,MATCH(use_fish!C53,activity!A:A,0)),0)</f>
        <v>60</v>
      </c>
      <c r="E53" s="2">
        <f>1/D53</f>
        <v>1.6666666666666666E-2</v>
      </c>
      <c r="F53" s="2" t="s">
        <v>28</v>
      </c>
      <c r="G53" s="5" t="str">
        <f>INDEX(base_fish!E:E,MATCH(use_fish!B53,base_fish!A:A,0))&amp;_xlfn.IFNA("+"&amp;INDEX(activity!H:H,MATCH(use_fish!C53,activity!A:A,0)),"")</f>
        <v>魔鬼鱼</v>
      </c>
      <c r="H53" s="2">
        <f>LOOKUP(use_fish!B53,base_fish!A:A,base_fish!F:F)+_xlfn.IFNA(INDEX(activity!G:G,MATCH(use_fish!C53,activity!A:A,0)),0)</f>
        <v>60</v>
      </c>
      <c r="I53">
        <v>1</v>
      </c>
      <c r="J53">
        <f>LOOKUP(use_fish!B53,base_fish!A:A,base_fish!G:G)</f>
        <v>0</v>
      </c>
      <c r="K53">
        <f>LOOKUP(use_fish!B53,base_fish!A:A,base_fish!F:F)</f>
        <v>60</v>
      </c>
      <c r="L53">
        <v>1</v>
      </c>
    </row>
    <row r="54" spans="1:12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LOOKUP(use_fish!B54,base_fish!A:A,base_fish!C:C)+_xlfn.IFNA(INDEX(activity!G:G,MATCH(use_fish!C54,activity!A:A,0)),0)</f>
        <v>90</v>
      </c>
      <c r="E54" s="2">
        <f>1/D54</f>
        <v>1.1111111111111112E-2</v>
      </c>
      <c r="F54" s="2" t="s">
        <v>28</v>
      </c>
      <c r="G54" s="5" t="str">
        <f>INDEX(base_fish!E:E,MATCH(use_fish!B54,base_fish!A:A,0))&amp;_xlfn.IFNA("+"&amp;INDEX(activity!H:H,MATCH(use_fish!C54,activity!A:A,0)),"")</f>
        <v>魔鬼鱼+炸弹</v>
      </c>
      <c r="H54" s="2">
        <f>LOOKUP(use_fish!B54,base_fish!A:A,base_fish!F:F)+_xlfn.IFNA(INDEX(activity!G:G,MATCH(use_fish!C54,activity!A:A,0)),0)</f>
        <v>90</v>
      </c>
      <c r="I54">
        <v>1</v>
      </c>
      <c r="J54">
        <f>LOOKUP(use_fish!B54,base_fish!A:A,base_fish!G:G)</f>
        <v>0</v>
      </c>
      <c r="K54">
        <f>LOOKUP(use_fish!B54,base_fish!A:A,base_fish!F:F)</f>
        <v>60</v>
      </c>
      <c r="L54">
        <v>1</v>
      </c>
    </row>
    <row r="55" spans="1:12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LOOKUP(use_fish!B55,base_fish!A:A,base_fish!C:C)+_xlfn.IFNA(INDEX(activity!G:G,MATCH(use_fish!C55,activity!A:A,0)),0)</f>
        <v>80</v>
      </c>
      <c r="E55" s="2">
        <f>1/D55</f>
        <v>1.2500000000000001E-2</v>
      </c>
      <c r="F55" s="2" t="s">
        <v>28</v>
      </c>
      <c r="G55" s="5" t="str">
        <f>INDEX(base_fish!E:E,MATCH(use_fish!B55,base_fish!A:A,0))&amp;_xlfn.IFNA("+"&amp;INDEX(activity!H:H,MATCH(use_fish!C55,activity!A:A,0)),"")</f>
        <v>魔鬼鱼+炸弹</v>
      </c>
      <c r="H55" s="2">
        <f>LOOKUP(use_fish!B55,base_fish!A:A,base_fish!F:F)+_xlfn.IFNA(INDEX(activity!G:G,MATCH(use_fish!C55,activity!A:A,0)),0)</f>
        <v>80</v>
      </c>
      <c r="I55">
        <v>1</v>
      </c>
      <c r="J55">
        <f>LOOKUP(use_fish!B55,base_fish!A:A,base_fish!G:G)</f>
        <v>0</v>
      </c>
      <c r="K55">
        <f>LOOKUP(use_fish!B55,base_fish!A:A,base_fish!F:F)</f>
        <v>60</v>
      </c>
      <c r="L55">
        <v>1</v>
      </c>
    </row>
    <row r="56" spans="1:12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LOOKUP(use_fish!B56,base_fish!A:A,base_fish!C:C)+_xlfn.IFNA(INDEX(activity!G:G,MATCH(use_fish!C56,activity!A:A,0)),0)</f>
        <v>133</v>
      </c>
      <c r="E56" s="2">
        <f t="shared" ref="E56:E62" si="4">1/D56</f>
        <v>7.5187969924812026E-3</v>
      </c>
      <c r="F56" s="2" t="s">
        <v>28</v>
      </c>
      <c r="G56" s="5" t="str">
        <f>INDEX(base_fish!E:E,MATCH(use_fish!B56,base_fish!A:A,0))&amp;_xlfn.IFNA("+"&amp;INDEX(activity!H:H,MATCH(use_fish!C56,activity!A:A,0)),"")</f>
        <v>大白鲨+威力提升</v>
      </c>
      <c r="H56" s="2">
        <f>LOOKUP(use_fish!B56,base_fish!A:A,base_fish!F:F)+_xlfn.IFNA(INDEX(activity!G:G,MATCH(use_fish!C56,activity!A:A,0)),0)</f>
        <v>133</v>
      </c>
      <c r="I56">
        <v>1</v>
      </c>
      <c r="J56">
        <f>LOOKUP(use_fish!B56,base_fish!A:A,base_fish!G:G)</f>
        <v>0</v>
      </c>
      <c r="K56">
        <f>LOOKUP(use_fish!B56,base_fish!A:A,base_fish!F:F)</f>
        <v>70</v>
      </c>
      <c r="L56">
        <v>1</v>
      </c>
    </row>
    <row r="57" spans="1:12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LOOKUP(use_fish!B57,base_fish!A:A,base_fish!C:C)+_xlfn.IFNA(INDEX(activity!G:G,MATCH(use_fish!C57,activity!A:A,0)),0)</f>
        <v>133</v>
      </c>
      <c r="E57" s="2">
        <f t="shared" si="4"/>
        <v>7.5187969924812026E-3</v>
      </c>
      <c r="F57" s="2" t="s">
        <v>28</v>
      </c>
      <c r="G57" s="5" t="str">
        <f>INDEX(base_fish!E:E,MATCH(use_fish!B57,base_fish!A:A,0))&amp;_xlfn.IFNA("+"&amp;INDEX(activity!H:H,MATCH(use_fish!C57,activity!A:A,0)),"")</f>
        <v>大白鲨+暴击时刻</v>
      </c>
      <c r="H57" s="2">
        <f>LOOKUP(use_fish!B57,base_fish!A:A,base_fish!F:F)+_xlfn.IFNA(INDEX(activity!G:G,MATCH(use_fish!C57,activity!A:A,0)),0)</f>
        <v>133</v>
      </c>
      <c r="I57">
        <v>1</v>
      </c>
      <c r="J57">
        <f>LOOKUP(use_fish!B57,base_fish!A:A,base_fish!G:G)</f>
        <v>0</v>
      </c>
      <c r="K57">
        <f>LOOKUP(use_fish!B57,base_fish!A:A,base_fish!F:F)</f>
        <v>70</v>
      </c>
      <c r="L57">
        <v>1</v>
      </c>
    </row>
    <row r="58" spans="1:12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LOOKUP(use_fish!B58,base_fish!A:A,base_fish!C:C)+_xlfn.IFNA(INDEX(activity!G:G,MATCH(use_fish!C58,activity!A:A,0)),0)</f>
        <v>120</v>
      </c>
      <c r="E58" s="2">
        <f t="shared" si="4"/>
        <v>8.3333333333333332E-3</v>
      </c>
      <c r="F58" s="2" t="s">
        <v>28</v>
      </c>
      <c r="G58" s="5" t="str">
        <f>INDEX(base_fish!E:E,MATCH(use_fish!B58,base_fish!A:A,0))&amp;_xlfn.IFNA("+"&amp;INDEX(activity!H:H,MATCH(use_fish!C58,activity!A:A,0)),"")</f>
        <v>大白鲨+闪电</v>
      </c>
      <c r="H58" s="2">
        <f>LOOKUP(use_fish!B58,base_fish!A:A,base_fish!F:F)+_xlfn.IFNA(INDEX(activity!G:G,MATCH(use_fish!C58,activity!A:A,0)),0)</f>
        <v>120</v>
      </c>
      <c r="I58">
        <v>1</v>
      </c>
      <c r="J58">
        <f>LOOKUP(use_fish!B58,base_fish!A:A,base_fish!G:G)</f>
        <v>0</v>
      </c>
      <c r="K58">
        <f>LOOKUP(use_fish!B58,base_fish!A:A,base_fish!F:F)</f>
        <v>70</v>
      </c>
      <c r="L58">
        <v>1</v>
      </c>
    </row>
    <row r="59" spans="1:12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LOOKUP(use_fish!B59,base_fish!A:A,base_fish!C:C)+_xlfn.IFNA(INDEX(activity!G:G,MATCH(use_fish!C59,activity!A:A,0)),0)</f>
        <v>120</v>
      </c>
      <c r="E59" s="2">
        <f t="shared" si="4"/>
        <v>8.3333333333333332E-3</v>
      </c>
      <c r="F59" s="2" t="s">
        <v>28</v>
      </c>
      <c r="G59" s="5" t="str">
        <f>INDEX(base_fish!E:E,MATCH(use_fish!B59,base_fish!A:A,0))&amp;_xlfn.IFNA("+"&amp;INDEX(activity!H:H,MATCH(use_fish!C59,activity!A:A,0)),"")</f>
        <v>大白鲨+免费子弹</v>
      </c>
      <c r="H59" s="2">
        <f>LOOKUP(use_fish!B59,base_fish!A:A,base_fish!F:F)+_xlfn.IFNA(INDEX(activity!G:G,MATCH(use_fish!C59,activity!A:A,0)),0)</f>
        <v>120</v>
      </c>
      <c r="I59">
        <v>1</v>
      </c>
      <c r="J59">
        <f>LOOKUP(use_fish!B59,base_fish!A:A,base_fish!G:G)</f>
        <v>0</v>
      </c>
      <c r="K59">
        <f>LOOKUP(use_fish!B59,base_fish!A:A,base_fish!F:F)</f>
        <v>70</v>
      </c>
      <c r="L59">
        <v>1</v>
      </c>
    </row>
    <row r="60" spans="1:12" x14ac:dyDescent="0.2">
      <c r="A60" s="3">
        <v>59</v>
      </c>
      <c r="B60" s="3">
        <v>11</v>
      </c>
      <c r="C60" s="3"/>
      <c r="D60" s="2">
        <f>LOOKUP(use_fish!B60,base_fish!A:A,base_fish!C:C)+_xlfn.IFNA(INDEX(activity!G:G,MATCH(use_fish!C60,activity!A:A,0)),0)</f>
        <v>70</v>
      </c>
      <c r="E60" s="2">
        <f t="shared" si="4"/>
        <v>1.4285714285714285E-2</v>
      </c>
      <c r="F60" s="2" t="s">
        <v>28</v>
      </c>
      <c r="G60" s="5" t="str">
        <f>INDEX(base_fish!E:E,MATCH(use_fish!B60,base_fish!A:A,0))&amp;_xlfn.IFNA("+"&amp;INDEX(activity!H:H,MATCH(use_fish!C60,activity!A:A,0)),"")</f>
        <v>大白鲨</v>
      </c>
      <c r="H60" s="2">
        <f>LOOKUP(use_fish!B60,base_fish!A:A,base_fish!F:F)+_xlfn.IFNA(INDEX(activity!G:G,MATCH(use_fish!C60,activity!A:A,0)),0)</f>
        <v>70</v>
      </c>
      <c r="I60">
        <v>1</v>
      </c>
      <c r="J60">
        <f>LOOKUP(use_fish!B60,base_fish!A:A,base_fish!G:G)</f>
        <v>0</v>
      </c>
      <c r="K60">
        <f>LOOKUP(use_fish!B60,base_fish!A:A,base_fish!F:F)</f>
        <v>70</v>
      </c>
      <c r="L60">
        <v>1</v>
      </c>
    </row>
    <row r="61" spans="1:12" x14ac:dyDescent="0.2">
      <c r="A61" s="3">
        <v>60</v>
      </c>
      <c r="B61" s="3">
        <v>11</v>
      </c>
      <c r="C61" s="3">
        <v>3</v>
      </c>
      <c r="D61" s="2">
        <f>LOOKUP(use_fish!B61,base_fish!A:A,base_fish!C:C)+_xlfn.IFNA(INDEX(activity!G:G,MATCH(use_fish!C61,activity!A:A,0)),0)</f>
        <v>133</v>
      </c>
      <c r="E61" s="2">
        <f t="shared" si="4"/>
        <v>7.5187969924812026E-3</v>
      </c>
      <c r="F61" s="2" t="s">
        <v>28</v>
      </c>
      <c r="G61" s="5" t="str">
        <f>INDEX(base_fish!E:E,MATCH(use_fish!B61,base_fish!A:A,0))&amp;_xlfn.IFNA("+"&amp;INDEX(activity!H:H,MATCH(use_fish!C61,activity!A:A,0)),"")</f>
        <v>大白鲨+暴击时刻</v>
      </c>
      <c r="H61" s="2">
        <f>LOOKUP(use_fish!B61,base_fish!A:A,base_fish!F:F)+_xlfn.IFNA(INDEX(activity!G:G,MATCH(use_fish!C61,activity!A:A,0)),0)</f>
        <v>133</v>
      </c>
      <c r="I61">
        <v>1</v>
      </c>
      <c r="J61">
        <f>LOOKUP(use_fish!B61,base_fish!A:A,base_fish!G:G)</f>
        <v>0</v>
      </c>
      <c r="K61">
        <f>LOOKUP(use_fish!B61,base_fish!A:A,base_fish!F:F)</f>
        <v>70</v>
      </c>
      <c r="L61">
        <v>1</v>
      </c>
    </row>
    <row r="62" spans="1:12" x14ac:dyDescent="0.2">
      <c r="A62" s="3">
        <v>61</v>
      </c>
      <c r="B62" s="3">
        <v>11</v>
      </c>
      <c r="C62" s="3"/>
      <c r="D62" s="2">
        <f>LOOKUP(use_fish!B62,base_fish!A:A,base_fish!C:C)+_xlfn.IFNA(INDEX(activity!G:G,MATCH(use_fish!C62,activity!A:A,0)),0)</f>
        <v>70</v>
      </c>
      <c r="E62" s="2">
        <f t="shared" si="4"/>
        <v>1.4285714285714285E-2</v>
      </c>
      <c r="F62" s="2" t="s">
        <v>28</v>
      </c>
      <c r="G62" s="5" t="str">
        <f>INDEX(base_fish!E:E,MATCH(use_fish!B62,base_fish!A:A,0))&amp;_xlfn.IFNA("+"&amp;INDEX(activity!H:H,MATCH(use_fish!C62,activity!A:A,0)),"")</f>
        <v>大白鲨</v>
      </c>
      <c r="H62" s="2">
        <f>LOOKUP(use_fish!B62,base_fish!A:A,base_fish!F:F)+_xlfn.IFNA(INDEX(activity!G:G,MATCH(use_fish!C62,activity!A:A,0)),0)</f>
        <v>70</v>
      </c>
      <c r="I62">
        <v>1</v>
      </c>
      <c r="J62">
        <f>LOOKUP(use_fish!B62,base_fish!A:A,base_fish!G:G)</f>
        <v>0</v>
      </c>
      <c r="K62">
        <f>LOOKUP(use_fish!B62,base_fish!A:A,base_fish!F:F)</f>
        <v>70</v>
      </c>
      <c r="L62">
        <v>1</v>
      </c>
    </row>
    <row r="63" spans="1:12" x14ac:dyDescent="0.2">
      <c r="A63" s="3">
        <v>62</v>
      </c>
      <c r="B63" s="3">
        <v>11</v>
      </c>
      <c r="C63" s="3"/>
      <c r="D63" s="2">
        <f>LOOKUP(use_fish!B63,base_fish!A:A,base_fish!C:C)+_xlfn.IFNA(INDEX(activity!G:G,MATCH(use_fish!C63,activity!A:A,0)),0)</f>
        <v>70</v>
      </c>
      <c r="E63" s="2">
        <f t="shared" ref="E63:E72" si="5">1/D63</f>
        <v>1.4285714285714285E-2</v>
      </c>
      <c r="F63" s="2" t="s">
        <v>28</v>
      </c>
      <c r="G63" s="5" t="str">
        <f>INDEX(base_fish!E:E,MATCH(use_fish!B63,base_fish!A:A,0))&amp;_xlfn.IFNA("+"&amp;INDEX(activity!H:H,MATCH(use_fish!C63,activity!A:A,0)),"")</f>
        <v>大白鲨</v>
      </c>
      <c r="H63" s="2">
        <f>LOOKUP(use_fish!B63,base_fish!A:A,base_fish!F:F)+_xlfn.IFNA(INDEX(activity!G:G,MATCH(use_fish!C63,activity!A:A,0)),0)</f>
        <v>70</v>
      </c>
      <c r="I63">
        <v>1</v>
      </c>
      <c r="J63">
        <f>LOOKUP(use_fish!B63,base_fish!A:A,base_fish!G:G)</f>
        <v>0</v>
      </c>
      <c r="K63">
        <f>LOOKUP(use_fish!B63,base_fish!A:A,base_fish!F:F)</f>
        <v>70</v>
      </c>
      <c r="L63">
        <v>1</v>
      </c>
    </row>
    <row r="64" spans="1:12" x14ac:dyDescent="0.2">
      <c r="A64" s="3">
        <v>63</v>
      </c>
      <c r="B64" s="3">
        <v>11</v>
      </c>
      <c r="C64" s="3"/>
      <c r="D64" s="2">
        <f>LOOKUP(use_fish!B64,base_fish!A:A,base_fish!C:C)+_xlfn.IFNA(INDEX(activity!G:G,MATCH(use_fish!C64,activity!A:A,0)),0)</f>
        <v>70</v>
      </c>
      <c r="E64" s="2">
        <f t="shared" si="5"/>
        <v>1.4285714285714285E-2</v>
      </c>
      <c r="F64" s="2" t="s">
        <v>28</v>
      </c>
      <c r="G64" s="5" t="str">
        <f>INDEX(base_fish!E:E,MATCH(use_fish!B64,base_fish!A:A,0))&amp;_xlfn.IFNA("+"&amp;INDEX(activity!H:H,MATCH(use_fish!C64,activity!A:A,0)),"")</f>
        <v>大白鲨</v>
      </c>
      <c r="H64" s="2">
        <f>LOOKUP(use_fish!B64,base_fish!A:A,base_fish!F:F)+_xlfn.IFNA(INDEX(activity!G:G,MATCH(use_fish!C64,activity!A:A,0)),0)</f>
        <v>70</v>
      </c>
      <c r="I64">
        <v>1</v>
      </c>
      <c r="J64">
        <f>LOOKUP(use_fish!B64,base_fish!A:A,base_fish!G:G)</f>
        <v>0</v>
      </c>
      <c r="K64">
        <f>LOOKUP(use_fish!B64,base_fish!A:A,base_fish!F:F)</f>
        <v>70</v>
      </c>
      <c r="L64">
        <v>1</v>
      </c>
    </row>
    <row r="65" spans="1:12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LOOKUP(use_fish!B65,base_fish!A:A,base_fish!C:C)+_xlfn.IFNA(INDEX(activity!G:G,MATCH(use_fish!C65,activity!A:A,0)),0)</f>
        <v>163</v>
      </c>
      <c r="E65" s="2">
        <f t="shared" si="5"/>
        <v>6.1349693251533744E-3</v>
      </c>
      <c r="F65" s="2" t="s">
        <v>28</v>
      </c>
      <c r="G65" s="5" t="str">
        <f>INDEX(base_fish!E:E,MATCH(use_fish!B65,base_fish!A:A,0))&amp;_xlfn.IFNA("+"&amp;INDEX(activity!H:H,MATCH(use_fish!C65,activity!A:A,0)),"")</f>
        <v>锤头鲨+威力提升</v>
      </c>
      <c r="H65" s="2">
        <f>LOOKUP(use_fish!B65,base_fish!A:A,base_fish!F:F)+_xlfn.IFNA(INDEX(activity!G:G,MATCH(use_fish!C65,activity!A:A,0)),0)</f>
        <v>163</v>
      </c>
      <c r="I65">
        <v>1</v>
      </c>
      <c r="J65">
        <f>LOOKUP(use_fish!B65,base_fish!A:A,base_fish!G:G)</f>
        <v>0</v>
      </c>
      <c r="K65">
        <f>LOOKUP(use_fish!B65,base_fish!A:A,base_fish!F:F)</f>
        <v>100</v>
      </c>
      <c r="L65">
        <v>1</v>
      </c>
    </row>
    <row r="66" spans="1:12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LOOKUP(use_fish!B66,base_fish!A:A,base_fish!C:C)+_xlfn.IFNA(INDEX(activity!G:G,MATCH(use_fish!C66,activity!A:A,0)),0)</f>
        <v>163</v>
      </c>
      <c r="E66" s="2">
        <f t="shared" si="5"/>
        <v>6.1349693251533744E-3</v>
      </c>
      <c r="F66" s="2" t="s">
        <v>28</v>
      </c>
      <c r="G66" s="5" t="str">
        <f>INDEX(base_fish!E:E,MATCH(use_fish!B66,base_fish!A:A,0))&amp;_xlfn.IFNA("+"&amp;INDEX(activity!H:H,MATCH(use_fish!C66,activity!A:A,0)),"")</f>
        <v>锤头鲨+暴击时刻</v>
      </c>
      <c r="H66" s="2">
        <f>LOOKUP(use_fish!B66,base_fish!A:A,base_fish!F:F)+_xlfn.IFNA(INDEX(activity!G:G,MATCH(use_fish!C66,activity!A:A,0)),0)</f>
        <v>163</v>
      </c>
      <c r="I66">
        <v>1</v>
      </c>
      <c r="J66">
        <f>LOOKUP(use_fish!B66,base_fish!A:A,base_fish!G:G)</f>
        <v>0</v>
      </c>
      <c r="K66">
        <f>LOOKUP(use_fish!B66,base_fish!A:A,base_fish!F:F)</f>
        <v>100</v>
      </c>
      <c r="L66">
        <v>1</v>
      </c>
    </row>
    <row r="67" spans="1:12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LOOKUP(use_fish!B67,base_fish!A:A,base_fish!C:C)+_xlfn.IFNA(INDEX(activity!G:G,MATCH(use_fish!C67,activity!A:A,0)),0)</f>
        <v>150</v>
      </c>
      <c r="E67" s="2">
        <f t="shared" si="5"/>
        <v>6.6666666666666671E-3</v>
      </c>
      <c r="F67" s="2" t="s">
        <v>28</v>
      </c>
      <c r="G67" s="5" t="str">
        <f>INDEX(base_fish!E:E,MATCH(use_fish!B67,base_fish!A:A,0))&amp;_xlfn.IFNA("+"&amp;INDEX(activity!H:H,MATCH(use_fish!C67,activity!A:A,0)),"")</f>
        <v>锤头鲨+闪电</v>
      </c>
      <c r="H67" s="2">
        <f>LOOKUP(use_fish!B67,base_fish!A:A,base_fish!F:F)+_xlfn.IFNA(INDEX(activity!G:G,MATCH(use_fish!C67,activity!A:A,0)),0)</f>
        <v>150</v>
      </c>
      <c r="I67">
        <v>1</v>
      </c>
      <c r="J67">
        <f>LOOKUP(use_fish!B67,base_fish!A:A,base_fish!G:G)</f>
        <v>0</v>
      </c>
      <c r="K67">
        <f>LOOKUP(use_fish!B67,base_fish!A:A,base_fish!F:F)</f>
        <v>100</v>
      </c>
      <c r="L67">
        <v>1</v>
      </c>
    </row>
    <row r="68" spans="1:12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LOOKUP(use_fish!B68,base_fish!A:A,base_fish!C:C)+_xlfn.IFNA(INDEX(activity!G:G,MATCH(use_fish!C68,activity!A:A,0)),0)</f>
        <v>150</v>
      </c>
      <c r="E68" s="2">
        <f t="shared" si="5"/>
        <v>6.6666666666666671E-3</v>
      </c>
      <c r="F68" s="2" t="s">
        <v>28</v>
      </c>
      <c r="G68" s="5" t="str">
        <f>INDEX(base_fish!E:E,MATCH(use_fish!B68,base_fish!A:A,0))&amp;_xlfn.IFNA("+"&amp;INDEX(activity!H:H,MATCH(use_fish!C68,activity!A:A,0)),"")</f>
        <v>锤头鲨+免费子弹</v>
      </c>
      <c r="H68" s="2">
        <f>LOOKUP(use_fish!B68,base_fish!A:A,base_fish!F:F)+_xlfn.IFNA(INDEX(activity!G:G,MATCH(use_fish!C68,activity!A:A,0)),0)</f>
        <v>150</v>
      </c>
      <c r="I68">
        <v>1</v>
      </c>
      <c r="J68">
        <f>LOOKUP(use_fish!B68,base_fish!A:A,base_fish!G:G)</f>
        <v>0</v>
      </c>
      <c r="K68">
        <f>LOOKUP(use_fish!B68,base_fish!A:A,base_fish!F:F)</f>
        <v>100</v>
      </c>
      <c r="L68">
        <v>1</v>
      </c>
    </row>
    <row r="69" spans="1:12" x14ac:dyDescent="0.2">
      <c r="A69" s="3">
        <v>68</v>
      </c>
      <c r="B69" s="3">
        <v>12</v>
      </c>
      <c r="C69" s="3"/>
      <c r="D69" s="2">
        <f>LOOKUP(use_fish!B69,base_fish!A:A,base_fish!C:C)+_xlfn.IFNA(INDEX(activity!G:G,MATCH(use_fish!C69,activity!A:A,0)),0)</f>
        <v>100</v>
      </c>
      <c r="E69" s="2">
        <f t="shared" si="5"/>
        <v>0.01</v>
      </c>
      <c r="F69" s="2" t="s">
        <v>28</v>
      </c>
      <c r="G69" s="5" t="str">
        <f>INDEX(base_fish!E:E,MATCH(use_fish!B69,base_fish!A:A,0))&amp;_xlfn.IFNA("+"&amp;INDEX(activity!H:H,MATCH(use_fish!C69,activity!A:A,0)),"")</f>
        <v>锤头鲨</v>
      </c>
      <c r="H69" s="2">
        <f>LOOKUP(use_fish!B69,base_fish!A:A,base_fish!F:F)+_xlfn.IFNA(INDEX(activity!G:G,MATCH(use_fish!C69,activity!A:A,0)),0)</f>
        <v>100</v>
      </c>
      <c r="I69">
        <v>1</v>
      </c>
      <c r="J69">
        <f>LOOKUP(use_fish!B69,base_fish!A:A,base_fish!G:G)</f>
        <v>0</v>
      </c>
      <c r="K69">
        <f>LOOKUP(use_fish!B69,base_fish!A:A,base_fish!F:F)</f>
        <v>100</v>
      </c>
      <c r="L69">
        <v>1</v>
      </c>
    </row>
    <row r="70" spans="1:12" x14ac:dyDescent="0.2">
      <c r="A70" s="3">
        <v>69</v>
      </c>
      <c r="B70" s="3">
        <v>12</v>
      </c>
      <c r="C70" s="3">
        <v>3</v>
      </c>
      <c r="D70" s="2">
        <f>LOOKUP(use_fish!B70,base_fish!A:A,base_fish!C:C)+_xlfn.IFNA(INDEX(activity!G:G,MATCH(use_fish!C70,activity!A:A,0)),0)</f>
        <v>163</v>
      </c>
      <c r="E70" s="2">
        <f t="shared" si="5"/>
        <v>6.1349693251533744E-3</v>
      </c>
      <c r="F70" s="2" t="s">
        <v>28</v>
      </c>
      <c r="G70" s="5" t="str">
        <f>INDEX(base_fish!E:E,MATCH(use_fish!B70,base_fish!A:A,0))&amp;_xlfn.IFNA("+"&amp;INDEX(activity!H:H,MATCH(use_fish!C70,activity!A:A,0)),"")</f>
        <v>锤头鲨+暴击时刻</v>
      </c>
      <c r="H70" s="2">
        <f>LOOKUP(use_fish!B70,base_fish!A:A,base_fish!F:F)+_xlfn.IFNA(INDEX(activity!G:G,MATCH(use_fish!C70,activity!A:A,0)),0)</f>
        <v>163</v>
      </c>
      <c r="I70">
        <v>1</v>
      </c>
      <c r="J70">
        <f>LOOKUP(use_fish!B70,base_fish!A:A,base_fish!G:G)</f>
        <v>0</v>
      </c>
      <c r="K70">
        <f>LOOKUP(use_fish!B70,base_fish!A:A,base_fish!F:F)</f>
        <v>100</v>
      </c>
      <c r="L70">
        <v>1</v>
      </c>
    </row>
    <row r="71" spans="1:12" x14ac:dyDescent="0.2">
      <c r="A71" s="3">
        <v>70</v>
      </c>
      <c r="B71" s="3">
        <v>12</v>
      </c>
      <c r="C71" s="3"/>
      <c r="D71" s="2">
        <f>LOOKUP(use_fish!B71,base_fish!A:A,base_fish!C:C)+_xlfn.IFNA(INDEX(activity!G:G,MATCH(use_fish!C71,activity!A:A,0)),0)</f>
        <v>100</v>
      </c>
      <c r="E71" s="2">
        <f t="shared" si="5"/>
        <v>0.01</v>
      </c>
      <c r="F71" s="2" t="s">
        <v>28</v>
      </c>
      <c r="G71" s="5" t="str">
        <f>INDEX(base_fish!E:E,MATCH(use_fish!B71,base_fish!A:A,0))&amp;_xlfn.IFNA("+"&amp;INDEX(activity!H:H,MATCH(use_fish!C71,activity!A:A,0)),"")</f>
        <v>锤头鲨</v>
      </c>
      <c r="H71" s="2">
        <f>LOOKUP(use_fish!B71,base_fish!A:A,base_fish!F:F)+_xlfn.IFNA(INDEX(activity!G:G,MATCH(use_fish!C71,activity!A:A,0)),0)</f>
        <v>100</v>
      </c>
      <c r="I71">
        <v>1</v>
      </c>
      <c r="J71">
        <f>LOOKUP(use_fish!B71,base_fish!A:A,base_fish!G:G)</f>
        <v>0</v>
      </c>
      <c r="K71">
        <f>LOOKUP(use_fish!B71,base_fish!A:A,base_fish!F:F)</f>
        <v>100</v>
      </c>
      <c r="L71">
        <v>1</v>
      </c>
    </row>
    <row r="72" spans="1:12" x14ac:dyDescent="0.2">
      <c r="A72" s="3">
        <v>71</v>
      </c>
      <c r="B72" s="3">
        <v>12</v>
      </c>
      <c r="C72" s="3"/>
      <c r="D72" s="2">
        <f>LOOKUP(use_fish!B72,base_fish!A:A,base_fish!C:C)+_xlfn.IFNA(INDEX(activity!G:G,MATCH(use_fish!C72,activity!A:A,0)),0)</f>
        <v>100</v>
      </c>
      <c r="E72" s="2">
        <f t="shared" si="5"/>
        <v>0.01</v>
      </c>
      <c r="F72" s="2" t="s">
        <v>28</v>
      </c>
      <c r="G72" s="5" t="str">
        <f>INDEX(base_fish!E:E,MATCH(use_fish!B72,base_fish!A:A,0))&amp;_xlfn.IFNA("+"&amp;INDEX(activity!H:H,MATCH(use_fish!C72,activity!A:A,0)),"")</f>
        <v>锤头鲨</v>
      </c>
      <c r="H72" s="2">
        <f>LOOKUP(use_fish!B72,base_fish!A:A,base_fish!F:F)+_xlfn.IFNA(INDEX(activity!G:G,MATCH(use_fish!C72,activity!A:A,0)),0)</f>
        <v>100</v>
      </c>
      <c r="I72">
        <v>1</v>
      </c>
      <c r="J72">
        <f>LOOKUP(use_fish!B72,base_fish!A:A,base_fish!G:G)</f>
        <v>0</v>
      </c>
      <c r="K72">
        <f>LOOKUP(use_fish!B72,base_fish!A:A,base_fish!F:F)</f>
        <v>100</v>
      </c>
      <c r="L72">
        <v>1</v>
      </c>
    </row>
    <row r="73" spans="1:12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LOOKUP(use_fish!B73,base_fish!A:A,base_fish!C:C)+_xlfn.IFNA(INDEX(activity!G:G,MATCH(use_fish!C73,activity!A:A,0)),0)</f>
        <v>143</v>
      </c>
      <c r="E73" s="2">
        <f t="shared" ref="E73:E79" si="6">1/D73</f>
        <v>6.993006993006993E-3</v>
      </c>
      <c r="F73" s="2" t="s">
        <v>28</v>
      </c>
      <c r="G73" s="5" t="str">
        <f>INDEX(base_fish!E:E,MATCH(use_fish!B73,base_fish!A:A,0))&amp;_xlfn.IFNA("+"&amp;INDEX(activity!H:H,MATCH(use_fish!C73,activity!A:A,0)),"")</f>
        <v>黄金海龟+威力提升</v>
      </c>
      <c r="H73" s="2">
        <f>LOOKUP(use_fish!B73,base_fish!A:A,base_fish!F:F)+_xlfn.IFNA(INDEX(activity!G:G,MATCH(use_fish!C73,activity!A:A,0)),0)</f>
        <v>143</v>
      </c>
      <c r="I73">
        <v>1</v>
      </c>
      <c r="J73">
        <f>LOOKUP(use_fish!B73,base_fish!A:A,base_fish!G:G)</f>
        <v>0</v>
      </c>
      <c r="K73">
        <f>LOOKUP(use_fish!B73,base_fish!A:A,base_fish!F:F)</f>
        <v>80</v>
      </c>
      <c r="L73">
        <v>1</v>
      </c>
    </row>
    <row r="74" spans="1:12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LOOKUP(use_fish!B74,base_fish!A:A,base_fish!C:C)+_xlfn.IFNA(INDEX(activity!G:G,MATCH(use_fish!C74,activity!A:A,0)),0)</f>
        <v>143</v>
      </c>
      <c r="E74" s="2">
        <f t="shared" si="6"/>
        <v>6.993006993006993E-3</v>
      </c>
      <c r="F74" s="2" t="s">
        <v>28</v>
      </c>
      <c r="G74" s="5" t="str">
        <f>INDEX(base_fish!E:E,MATCH(use_fish!B74,base_fish!A:A,0))&amp;_xlfn.IFNA("+"&amp;INDEX(activity!H:H,MATCH(use_fish!C74,activity!A:A,0)),"")</f>
        <v>黄金海龟+暴击时刻</v>
      </c>
      <c r="H74" s="2">
        <f>LOOKUP(use_fish!B74,base_fish!A:A,base_fish!F:F)+_xlfn.IFNA(INDEX(activity!G:G,MATCH(use_fish!C74,activity!A:A,0)),0)</f>
        <v>143</v>
      </c>
      <c r="I74">
        <v>1</v>
      </c>
      <c r="J74">
        <f>LOOKUP(use_fish!B74,base_fish!A:A,base_fish!G:G)</f>
        <v>0</v>
      </c>
      <c r="K74">
        <f>LOOKUP(use_fish!B74,base_fish!A:A,base_fish!F:F)</f>
        <v>80</v>
      </c>
      <c r="L74">
        <v>1</v>
      </c>
    </row>
    <row r="75" spans="1:12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LOOKUP(use_fish!B75,base_fish!A:A,base_fish!C:C)+_xlfn.IFNA(INDEX(activity!G:G,MATCH(use_fish!C75,activity!A:A,0)),0)</f>
        <v>130</v>
      </c>
      <c r="E75" s="2">
        <f t="shared" si="6"/>
        <v>7.6923076923076927E-3</v>
      </c>
      <c r="F75" s="2" t="s">
        <v>28</v>
      </c>
      <c r="G75" s="5" t="str">
        <f>INDEX(base_fish!E:E,MATCH(use_fish!B75,base_fish!A:A,0))&amp;_xlfn.IFNA("+"&amp;INDEX(activity!H:H,MATCH(use_fish!C75,activity!A:A,0)),"")</f>
        <v>黄金海龟+闪电</v>
      </c>
      <c r="H75" s="2">
        <f>LOOKUP(use_fish!B75,base_fish!A:A,base_fish!F:F)+_xlfn.IFNA(INDEX(activity!G:G,MATCH(use_fish!C75,activity!A:A,0)),0)</f>
        <v>130</v>
      </c>
      <c r="I75">
        <v>1</v>
      </c>
      <c r="J75">
        <f>LOOKUP(use_fish!B75,base_fish!A:A,base_fish!G:G)</f>
        <v>0</v>
      </c>
      <c r="K75">
        <f>LOOKUP(use_fish!B75,base_fish!A:A,base_fish!F:F)</f>
        <v>80</v>
      </c>
      <c r="L75">
        <v>1</v>
      </c>
    </row>
    <row r="76" spans="1:12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LOOKUP(use_fish!B76,base_fish!A:A,base_fish!C:C)+_xlfn.IFNA(INDEX(activity!G:G,MATCH(use_fish!C76,activity!A:A,0)),0)</f>
        <v>130</v>
      </c>
      <c r="E76" s="2">
        <f t="shared" si="6"/>
        <v>7.6923076923076927E-3</v>
      </c>
      <c r="F76" s="2" t="s">
        <v>28</v>
      </c>
      <c r="G76" s="5" t="str">
        <f>INDEX(base_fish!E:E,MATCH(use_fish!B76,base_fish!A:A,0))&amp;_xlfn.IFNA("+"&amp;INDEX(activity!H:H,MATCH(use_fish!C76,activity!A:A,0)),"")</f>
        <v>黄金海龟+免费子弹</v>
      </c>
      <c r="H76" s="2">
        <f>LOOKUP(use_fish!B76,base_fish!A:A,base_fish!F:F)+_xlfn.IFNA(INDEX(activity!G:G,MATCH(use_fish!C76,activity!A:A,0)),0)</f>
        <v>130</v>
      </c>
      <c r="I76">
        <v>1</v>
      </c>
      <c r="J76">
        <f>LOOKUP(use_fish!B76,base_fish!A:A,base_fish!G:G)</f>
        <v>0</v>
      </c>
      <c r="K76">
        <f>LOOKUP(use_fish!B76,base_fish!A:A,base_fish!F:F)</f>
        <v>80</v>
      </c>
      <c r="L76">
        <v>1</v>
      </c>
    </row>
    <row r="77" spans="1:12" x14ac:dyDescent="0.2">
      <c r="A77" s="3">
        <v>76</v>
      </c>
      <c r="B77" s="3">
        <v>14</v>
      </c>
      <c r="C77" s="3"/>
      <c r="D77" s="2">
        <f>LOOKUP(use_fish!B77,base_fish!A:A,base_fish!C:C)+_xlfn.IFNA(INDEX(activity!G:G,MATCH(use_fish!C77,activity!A:A,0)),0)</f>
        <v>80</v>
      </c>
      <c r="E77" s="2">
        <f t="shared" si="6"/>
        <v>1.2500000000000001E-2</v>
      </c>
      <c r="F77" s="2" t="s">
        <v>28</v>
      </c>
      <c r="G77" s="5" t="str">
        <f>INDEX(base_fish!E:E,MATCH(use_fish!B77,base_fish!A:A,0))&amp;_xlfn.IFNA("+"&amp;INDEX(activity!H:H,MATCH(use_fish!C77,activity!A:A,0)),"")</f>
        <v>黄金海龟</v>
      </c>
      <c r="H77" s="2">
        <f>LOOKUP(use_fish!B77,base_fish!A:A,base_fish!F:F)+_xlfn.IFNA(INDEX(activity!G:G,MATCH(use_fish!C77,activity!A:A,0)),0)</f>
        <v>80</v>
      </c>
      <c r="I77">
        <v>1</v>
      </c>
      <c r="J77">
        <f>LOOKUP(use_fish!B77,base_fish!A:A,base_fish!G:G)</f>
        <v>0</v>
      </c>
      <c r="K77">
        <f>LOOKUP(use_fish!B77,base_fish!A:A,base_fish!F:F)</f>
        <v>80</v>
      </c>
      <c r="L77">
        <v>1</v>
      </c>
    </row>
    <row r="78" spans="1:12" x14ac:dyDescent="0.2">
      <c r="A78" s="3">
        <v>77</v>
      </c>
      <c r="B78" s="3">
        <v>14</v>
      </c>
      <c r="C78" s="3">
        <v>3</v>
      </c>
      <c r="D78" s="2">
        <f>LOOKUP(use_fish!B78,base_fish!A:A,base_fish!C:C)+_xlfn.IFNA(INDEX(activity!G:G,MATCH(use_fish!C78,activity!A:A,0)),0)</f>
        <v>143</v>
      </c>
      <c r="E78" s="2">
        <f t="shared" si="6"/>
        <v>6.993006993006993E-3</v>
      </c>
      <c r="F78" s="2" t="s">
        <v>28</v>
      </c>
      <c r="G78" s="5" t="str">
        <f>INDEX(base_fish!E:E,MATCH(use_fish!B78,base_fish!A:A,0))&amp;_xlfn.IFNA("+"&amp;INDEX(activity!H:H,MATCH(use_fish!C78,activity!A:A,0)),"")</f>
        <v>黄金海龟+暴击时刻</v>
      </c>
      <c r="H78" s="2">
        <f>LOOKUP(use_fish!B78,base_fish!A:A,base_fish!F:F)+_xlfn.IFNA(INDEX(activity!G:G,MATCH(use_fish!C78,activity!A:A,0)),0)</f>
        <v>143</v>
      </c>
      <c r="I78">
        <v>1</v>
      </c>
      <c r="J78">
        <f>LOOKUP(use_fish!B78,base_fish!A:A,base_fish!G:G)</f>
        <v>0</v>
      </c>
      <c r="K78">
        <f>LOOKUP(use_fish!B78,base_fish!A:A,base_fish!F:F)</f>
        <v>80</v>
      </c>
      <c r="L78">
        <v>1</v>
      </c>
    </row>
    <row r="79" spans="1:12" x14ac:dyDescent="0.2">
      <c r="A79" s="3">
        <v>78</v>
      </c>
      <c r="B79" s="3">
        <v>14</v>
      </c>
      <c r="C79" s="3">
        <v>3</v>
      </c>
      <c r="D79" s="2">
        <f>LOOKUP(use_fish!B79,base_fish!A:A,base_fish!C:C)+_xlfn.IFNA(INDEX(activity!G:G,MATCH(use_fish!C79,activity!A:A,0)),0)</f>
        <v>143</v>
      </c>
      <c r="E79" s="2">
        <f t="shared" si="6"/>
        <v>6.993006993006993E-3</v>
      </c>
      <c r="F79" s="2" t="s">
        <v>28</v>
      </c>
      <c r="G79" s="5" t="str">
        <f>INDEX(base_fish!E:E,MATCH(use_fish!B79,base_fish!A:A,0))&amp;_xlfn.IFNA("+"&amp;INDEX(activity!H:H,MATCH(use_fish!C79,activity!A:A,0)),"")</f>
        <v>黄金海龟+暴击时刻</v>
      </c>
      <c r="H79" s="2">
        <f>LOOKUP(use_fish!B79,base_fish!A:A,base_fish!F:F)+_xlfn.IFNA(INDEX(activity!G:G,MATCH(use_fish!C79,activity!A:A,0)),0)</f>
        <v>143</v>
      </c>
      <c r="I79">
        <v>1</v>
      </c>
      <c r="J79">
        <f>LOOKUP(use_fish!B79,base_fish!A:A,base_fish!G:G)</f>
        <v>0</v>
      </c>
      <c r="K79">
        <f>LOOKUP(use_fish!B79,base_fish!A:A,base_fish!F:F)</f>
        <v>80</v>
      </c>
      <c r="L79">
        <v>1</v>
      </c>
    </row>
    <row r="80" spans="1:12" x14ac:dyDescent="0.2">
      <c r="A80" s="3">
        <v>79</v>
      </c>
      <c r="B80" s="3">
        <v>14</v>
      </c>
      <c r="C80" s="3"/>
      <c r="D80" s="2">
        <f>LOOKUP(use_fish!B80,base_fish!A:A,base_fish!C:C)+_xlfn.IFNA(INDEX(activity!G:G,MATCH(use_fish!C80,activity!A:A,0)),0)</f>
        <v>80</v>
      </c>
      <c r="E80" s="2">
        <f>1/D80</f>
        <v>1.2500000000000001E-2</v>
      </c>
      <c r="F80" s="2" t="s">
        <v>28</v>
      </c>
      <c r="G80" s="5" t="str">
        <f>INDEX(base_fish!E:E,MATCH(use_fish!B80,base_fish!A:A,0))&amp;_xlfn.IFNA("+"&amp;INDEX(activity!H:H,MATCH(use_fish!C80,activity!A:A,0)),"")</f>
        <v>黄金海龟</v>
      </c>
      <c r="H80" s="2">
        <f>LOOKUP(use_fish!B80,base_fish!A:A,base_fish!F:F)+_xlfn.IFNA(INDEX(activity!G:G,MATCH(use_fish!C80,activity!A:A,0)),0)</f>
        <v>80</v>
      </c>
      <c r="I80">
        <v>1</v>
      </c>
      <c r="J80">
        <f>LOOKUP(use_fish!B80,base_fish!A:A,base_fish!G:G)</f>
        <v>0</v>
      </c>
      <c r="K80">
        <f>LOOKUP(use_fish!B80,base_fish!A:A,base_fish!F:F)</f>
        <v>80</v>
      </c>
      <c r="L80">
        <v>1</v>
      </c>
    </row>
    <row r="81" spans="1:12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LOOKUP(use_fish!B81,base_fish!A:A,base_fish!C:C)+_xlfn.IFNA(INDEX(activity!G:G,MATCH(use_fish!C81,activity!A:A,0)),0)</f>
        <v>110</v>
      </c>
      <c r="E81" s="2">
        <f>1/D81</f>
        <v>9.0909090909090905E-3</v>
      </c>
      <c r="F81" s="2" t="s">
        <v>28</v>
      </c>
      <c r="G81" s="5" t="str">
        <f>INDEX(base_fish!E:E,MATCH(use_fish!B81,base_fish!A:A,0))&amp;_xlfn.IFNA("+"&amp;INDEX(activity!H:H,MATCH(use_fish!C81,activity!A:A,0)),"")</f>
        <v>黄金海龟+炸弹</v>
      </c>
      <c r="H81" s="2">
        <f>LOOKUP(use_fish!B81,base_fish!A:A,base_fish!F:F)+_xlfn.IFNA(INDEX(activity!G:G,MATCH(use_fish!C81,activity!A:A,0)),0)</f>
        <v>110</v>
      </c>
      <c r="I81">
        <v>1</v>
      </c>
      <c r="J81">
        <f>LOOKUP(use_fish!B81,base_fish!A:A,base_fish!G:G)</f>
        <v>0</v>
      </c>
      <c r="K81">
        <f>LOOKUP(use_fish!B81,base_fish!A:A,base_fish!F:F)</f>
        <v>80</v>
      </c>
      <c r="L81">
        <v>1</v>
      </c>
    </row>
    <row r="82" spans="1:12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LOOKUP(use_fish!B82,base_fish!A:A,base_fish!C:C)+_xlfn.IFNA(INDEX(activity!G:G,MATCH(use_fish!C82,activity!A:A,0)),0)</f>
        <v>100</v>
      </c>
      <c r="E82" s="2">
        <f>1/D82</f>
        <v>0.01</v>
      </c>
      <c r="F82" s="2" t="s">
        <v>28</v>
      </c>
      <c r="G82" s="5" t="str">
        <f>INDEX(base_fish!E:E,MATCH(use_fish!B82,base_fish!A:A,0))&amp;_xlfn.IFNA("+"&amp;INDEX(activity!H:H,MATCH(use_fish!C82,activity!A:A,0)),"")</f>
        <v>黄金海龟+炸弹</v>
      </c>
      <c r="H82" s="2">
        <f>LOOKUP(use_fish!B82,base_fish!A:A,base_fish!F:F)+_xlfn.IFNA(INDEX(activity!G:G,MATCH(use_fish!C82,activity!A:A,0)),0)</f>
        <v>100</v>
      </c>
      <c r="I82">
        <v>1</v>
      </c>
      <c r="J82">
        <f>LOOKUP(use_fish!B82,base_fish!A:A,base_fish!G:G)</f>
        <v>0</v>
      </c>
      <c r="K82">
        <f>LOOKUP(use_fish!B82,base_fish!A:A,base_fish!F:F)</f>
        <v>80</v>
      </c>
      <c r="L82">
        <v>1</v>
      </c>
    </row>
    <row r="83" spans="1:12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LOOKUP(use_fish!B83,base_fish!A:A,base_fish!C:C)+_xlfn.IFNA(INDEX(activity!G:G,MATCH(use_fish!C83,activity!A:A,0)),0)</f>
        <v>163</v>
      </c>
      <c r="E83" s="2">
        <f t="shared" ref="E83:E88" si="7">1/D83</f>
        <v>6.1349693251533744E-3</v>
      </c>
      <c r="F83" s="2" t="s">
        <v>28</v>
      </c>
      <c r="G83" s="5" t="str">
        <f>INDEX(base_fish!E:E,MATCH(use_fish!B83,base_fish!A:A,0))&amp;_xlfn.IFNA("+"&amp;INDEX(activity!H:H,MATCH(use_fish!C83,activity!A:A,0)),"")</f>
        <v>黄金灯笼鱼+威力提升</v>
      </c>
      <c r="H83" s="2">
        <f>LOOKUP(use_fish!B83,base_fish!A:A,base_fish!F:F)+_xlfn.IFNA(INDEX(activity!G:G,MATCH(use_fish!C83,activity!A:A,0)),0)</f>
        <v>163</v>
      </c>
      <c r="I83">
        <v>1</v>
      </c>
      <c r="J83">
        <f>LOOKUP(use_fish!B83,base_fish!A:A,base_fish!G:G)</f>
        <v>0</v>
      </c>
      <c r="K83">
        <f>LOOKUP(use_fish!B83,base_fish!A:A,base_fish!F:F)</f>
        <v>100</v>
      </c>
      <c r="L83">
        <v>1</v>
      </c>
    </row>
    <row r="84" spans="1:12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LOOKUP(use_fish!B84,base_fish!A:A,base_fish!C:C)+_xlfn.IFNA(INDEX(activity!G:G,MATCH(use_fish!C84,activity!A:A,0)),0)</f>
        <v>163</v>
      </c>
      <c r="E84" s="2">
        <f t="shared" si="7"/>
        <v>6.1349693251533744E-3</v>
      </c>
      <c r="F84" s="2" t="s">
        <v>28</v>
      </c>
      <c r="G84" s="5" t="str">
        <f>INDEX(base_fish!E:E,MATCH(use_fish!B84,base_fish!A:A,0))&amp;_xlfn.IFNA("+"&amp;INDEX(activity!H:H,MATCH(use_fish!C84,activity!A:A,0)),"")</f>
        <v>黄金灯笼鱼+暴击时刻</v>
      </c>
      <c r="H84" s="2">
        <f>LOOKUP(use_fish!B84,base_fish!A:A,base_fish!F:F)+_xlfn.IFNA(INDEX(activity!G:G,MATCH(use_fish!C84,activity!A:A,0)),0)</f>
        <v>163</v>
      </c>
      <c r="I84">
        <v>1</v>
      </c>
      <c r="J84">
        <f>LOOKUP(use_fish!B84,base_fish!A:A,base_fish!G:G)</f>
        <v>0</v>
      </c>
      <c r="K84">
        <f>LOOKUP(use_fish!B84,base_fish!A:A,base_fish!F:F)</f>
        <v>100</v>
      </c>
      <c r="L84">
        <v>1</v>
      </c>
    </row>
    <row r="85" spans="1:12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LOOKUP(use_fish!B85,base_fish!A:A,base_fish!C:C)+_xlfn.IFNA(INDEX(activity!G:G,MATCH(use_fish!C85,activity!A:A,0)),0)</f>
        <v>150</v>
      </c>
      <c r="E85" s="2">
        <f t="shared" si="7"/>
        <v>6.6666666666666671E-3</v>
      </c>
      <c r="F85" s="2" t="s">
        <v>28</v>
      </c>
      <c r="G85" s="5" t="str">
        <f>INDEX(base_fish!E:E,MATCH(use_fish!B85,base_fish!A:A,0))&amp;_xlfn.IFNA("+"&amp;INDEX(activity!H:H,MATCH(use_fish!C85,activity!A:A,0)),"")</f>
        <v>黄金灯笼鱼+闪电</v>
      </c>
      <c r="H85" s="2">
        <f>LOOKUP(use_fish!B85,base_fish!A:A,base_fish!F:F)+_xlfn.IFNA(INDEX(activity!G:G,MATCH(use_fish!C85,activity!A:A,0)),0)</f>
        <v>150</v>
      </c>
      <c r="I85">
        <v>1</v>
      </c>
      <c r="J85">
        <f>LOOKUP(use_fish!B85,base_fish!A:A,base_fish!G:G)</f>
        <v>0</v>
      </c>
      <c r="K85">
        <f>LOOKUP(use_fish!B85,base_fish!A:A,base_fish!F:F)</f>
        <v>100</v>
      </c>
      <c r="L85">
        <v>1</v>
      </c>
    </row>
    <row r="86" spans="1:12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LOOKUP(use_fish!B86,base_fish!A:A,base_fish!C:C)+_xlfn.IFNA(INDEX(activity!G:G,MATCH(use_fish!C86,activity!A:A,0)),0)</f>
        <v>150</v>
      </c>
      <c r="E86" s="2">
        <f t="shared" si="7"/>
        <v>6.6666666666666671E-3</v>
      </c>
      <c r="F86" s="2" t="s">
        <v>28</v>
      </c>
      <c r="G86" s="5" t="str">
        <f>INDEX(base_fish!E:E,MATCH(use_fish!B86,base_fish!A:A,0))&amp;_xlfn.IFNA("+"&amp;INDEX(activity!H:H,MATCH(use_fish!C86,activity!A:A,0)),"")</f>
        <v>黄金灯笼鱼+免费子弹</v>
      </c>
      <c r="H86" s="2">
        <f>LOOKUP(use_fish!B86,base_fish!A:A,base_fish!F:F)+_xlfn.IFNA(INDEX(activity!G:G,MATCH(use_fish!C86,activity!A:A,0)),0)</f>
        <v>150</v>
      </c>
      <c r="I86">
        <v>1</v>
      </c>
      <c r="J86">
        <f>LOOKUP(use_fish!B86,base_fish!A:A,base_fish!G:G)</f>
        <v>0</v>
      </c>
      <c r="K86">
        <f>LOOKUP(use_fish!B86,base_fish!A:A,base_fish!F:F)</f>
        <v>100</v>
      </c>
      <c r="L86">
        <v>1</v>
      </c>
    </row>
    <row r="87" spans="1:12" x14ac:dyDescent="0.2">
      <c r="A87" s="3">
        <v>86</v>
      </c>
      <c r="B87" s="3">
        <v>15</v>
      </c>
      <c r="C87" s="3"/>
      <c r="D87" s="2">
        <f>LOOKUP(use_fish!B87,base_fish!A:A,base_fish!C:C)+_xlfn.IFNA(INDEX(activity!G:G,MATCH(use_fish!C87,activity!A:A,0)),0)</f>
        <v>100</v>
      </c>
      <c r="E87" s="2">
        <f t="shared" si="7"/>
        <v>0.01</v>
      </c>
      <c r="F87" s="2" t="s">
        <v>28</v>
      </c>
      <c r="G87" s="5" t="str">
        <f>INDEX(base_fish!E:E,MATCH(use_fish!B87,base_fish!A:A,0))&amp;_xlfn.IFNA("+"&amp;INDEX(activity!H:H,MATCH(use_fish!C87,activity!A:A,0)),"")</f>
        <v>黄金灯笼鱼</v>
      </c>
      <c r="H87" s="2">
        <f>LOOKUP(use_fish!B87,base_fish!A:A,base_fish!F:F)+_xlfn.IFNA(INDEX(activity!G:G,MATCH(use_fish!C87,activity!A:A,0)),0)</f>
        <v>100</v>
      </c>
      <c r="I87">
        <v>1</v>
      </c>
      <c r="J87">
        <f>LOOKUP(use_fish!B87,base_fish!A:A,base_fish!G:G)</f>
        <v>0</v>
      </c>
      <c r="K87">
        <f>LOOKUP(use_fish!B87,base_fish!A:A,base_fish!F:F)</f>
        <v>100</v>
      </c>
      <c r="L87">
        <v>1</v>
      </c>
    </row>
    <row r="88" spans="1:12" x14ac:dyDescent="0.2">
      <c r="A88" s="3">
        <v>87</v>
      </c>
      <c r="B88" s="3">
        <v>15</v>
      </c>
      <c r="C88" s="3">
        <v>3</v>
      </c>
      <c r="D88" s="2">
        <f>LOOKUP(use_fish!B88,base_fish!A:A,base_fish!C:C)+_xlfn.IFNA(INDEX(activity!G:G,MATCH(use_fish!C88,activity!A:A,0)),0)</f>
        <v>163</v>
      </c>
      <c r="E88" s="2">
        <f t="shared" si="7"/>
        <v>6.1349693251533744E-3</v>
      </c>
      <c r="F88" s="2" t="s">
        <v>28</v>
      </c>
      <c r="G88" s="5" t="str">
        <f>INDEX(base_fish!E:E,MATCH(use_fish!B88,base_fish!A:A,0))&amp;_xlfn.IFNA("+"&amp;INDEX(activity!H:H,MATCH(use_fish!C88,activity!A:A,0)),"")</f>
        <v>黄金灯笼鱼+暴击时刻</v>
      </c>
      <c r="H88" s="2">
        <f>LOOKUP(use_fish!B88,base_fish!A:A,base_fish!F:F)+_xlfn.IFNA(INDEX(activity!G:G,MATCH(use_fish!C88,activity!A:A,0)),0)</f>
        <v>163</v>
      </c>
      <c r="I88">
        <v>1</v>
      </c>
      <c r="J88">
        <f>LOOKUP(use_fish!B88,base_fish!A:A,base_fish!G:G)</f>
        <v>0</v>
      </c>
      <c r="K88">
        <f>LOOKUP(use_fish!B88,base_fish!A:A,base_fish!F:F)</f>
        <v>100</v>
      </c>
      <c r="L88">
        <v>1</v>
      </c>
    </row>
    <row r="89" spans="1:12" x14ac:dyDescent="0.2">
      <c r="A89" s="3">
        <v>88</v>
      </c>
      <c r="B89" s="3">
        <v>15</v>
      </c>
      <c r="C89" s="3"/>
      <c r="D89" s="2">
        <f>LOOKUP(use_fish!B89,base_fish!A:A,base_fish!C:C)+_xlfn.IFNA(INDEX(activity!G:G,MATCH(use_fish!C89,activity!A:A,0)),0)</f>
        <v>100</v>
      </c>
      <c r="E89" s="2">
        <f>1/D89</f>
        <v>0.01</v>
      </c>
      <c r="F89" s="2" t="s">
        <v>28</v>
      </c>
      <c r="G89" s="5" t="str">
        <f>INDEX(base_fish!E:E,MATCH(use_fish!B89,base_fish!A:A,0))&amp;_xlfn.IFNA("+"&amp;INDEX(activity!H:H,MATCH(use_fish!C89,activity!A:A,0)),"")</f>
        <v>黄金灯笼鱼</v>
      </c>
      <c r="H89" s="2">
        <f>LOOKUP(use_fish!B89,base_fish!A:A,base_fish!F:F)+_xlfn.IFNA(INDEX(activity!G:G,MATCH(use_fish!C89,activity!A:A,0)),0)</f>
        <v>100</v>
      </c>
      <c r="I89">
        <v>1</v>
      </c>
      <c r="J89">
        <f>LOOKUP(use_fish!B89,base_fish!A:A,base_fish!G:G)</f>
        <v>0</v>
      </c>
      <c r="K89">
        <f>LOOKUP(use_fish!B89,base_fish!A:A,base_fish!F:F)</f>
        <v>100</v>
      </c>
      <c r="L89">
        <v>1</v>
      </c>
    </row>
    <row r="90" spans="1:12" x14ac:dyDescent="0.2">
      <c r="A90" s="3">
        <v>89</v>
      </c>
      <c r="B90" s="3">
        <v>15</v>
      </c>
      <c r="C90" s="3"/>
      <c r="D90" s="2">
        <f>LOOKUP(use_fish!B90,base_fish!A:A,base_fish!C:C)+_xlfn.IFNA(INDEX(activity!G:G,MATCH(use_fish!C90,activity!A:A,0)),0)</f>
        <v>100</v>
      </c>
      <c r="E90" s="2">
        <f>1/D90</f>
        <v>0.01</v>
      </c>
      <c r="F90" s="2" t="s">
        <v>28</v>
      </c>
      <c r="G90" s="5" t="str">
        <f>INDEX(base_fish!E:E,MATCH(use_fish!B90,base_fish!A:A,0))&amp;_xlfn.IFNA("+"&amp;INDEX(activity!H:H,MATCH(use_fish!C90,activity!A:A,0)),"")</f>
        <v>黄金灯笼鱼</v>
      </c>
      <c r="H90" s="2">
        <f>LOOKUP(use_fish!B90,base_fish!A:A,base_fish!F:F)+_xlfn.IFNA(INDEX(activity!G:G,MATCH(use_fish!C90,activity!A:A,0)),0)</f>
        <v>100</v>
      </c>
      <c r="I90">
        <v>1</v>
      </c>
      <c r="J90">
        <f>LOOKUP(use_fish!B90,base_fish!A:A,base_fish!G:G)</f>
        <v>0</v>
      </c>
      <c r="K90">
        <f>LOOKUP(use_fish!B90,base_fish!A:A,base_fish!F:F)</f>
        <v>100</v>
      </c>
      <c r="L90">
        <v>1</v>
      </c>
    </row>
    <row r="91" spans="1:12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LOOKUP(use_fish!B91,base_fish!A:A,base_fish!C:C)+_xlfn.IFNA(INDEX(activity!G:G,MATCH(use_fish!C91,activity!A:A,0)),0)</f>
        <v>130</v>
      </c>
      <c r="E91" s="2">
        <f>1/D91</f>
        <v>7.6923076923076927E-3</v>
      </c>
      <c r="F91" s="2" t="s">
        <v>28</v>
      </c>
      <c r="G91" s="5" t="str">
        <f>INDEX(base_fish!E:E,MATCH(use_fish!B91,base_fish!A:A,0))&amp;_xlfn.IFNA("+"&amp;INDEX(activity!H:H,MATCH(use_fish!C91,activity!A:A,0)),"")</f>
        <v>黄金灯笼鱼+炸弹</v>
      </c>
      <c r="H91" s="2">
        <f>LOOKUP(use_fish!B91,base_fish!A:A,base_fish!F:F)+_xlfn.IFNA(INDEX(activity!G:G,MATCH(use_fish!C91,activity!A:A,0)),0)</f>
        <v>130</v>
      </c>
      <c r="I91">
        <v>1</v>
      </c>
      <c r="J91">
        <f>LOOKUP(use_fish!B91,base_fish!A:A,base_fish!G:G)</f>
        <v>0</v>
      </c>
      <c r="K91">
        <f>LOOKUP(use_fish!B91,base_fish!A:A,base_fish!F:F)</f>
        <v>100</v>
      </c>
      <c r="L91">
        <v>1</v>
      </c>
    </row>
    <row r="92" spans="1:12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LOOKUP(use_fish!B92,base_fish!A:A,base_fish!C:C)+_xlfn.IFNA(INDEX(activity!G:G,MATCH(use_fish!C92,activity!A:A,0)),0)</f>
        <v>120</v>
      </c>
      <c r="E92" s="2">
        <f>1/D92</f>
        <v>8.3333333333333332E-3</v>
      </c>
      <c r="F92" s="2" t="s">
        <v>28</v>
      </c>
      <c r="G92" s="5" t="str">
        <f>INDEX(base_fish!E:E,MATCH(use_fish!B92,base_fish!A:A,0))&amp;_xlfn.IFNA("+"&amp;INDEX(activity!H:H,MATCH(use_fish!C92,activity!A:A,0)),"")</f>
        <v>黄金灯笼鱼+炸弹</v>
      </c>
      <c r="H92" s="2">
        <f>LOOKUP(use_fish!B92,base_fish!A:A,base_fish!F:F)+_xlfn.IFNA(INDEX(activity!G:G,MATCH(use_fish!C92,activity!A:A,0)),0)</f>
        <v>120</v>
      </c>
      <c r="I92">
        <v>1</v>
      </c>
      <c r="J92">
        <f>LOOKUP(use_fish!B92,base_fish!A:A,base_fish!G:G)</f>
        <v>0</v>
      </c>
      <c r="K92">
        <f>LOOKUP(use_fish!B92,base_fish!A:A,base_fish!F:F)</f>
        <v>100</v>
      </c>
      <c r="L92">
        <v>1</v>
      </c>
    </row>
    <row r="93" spans="1:12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LOOKUP(use_fish!B93,base_fish!A:A,base_fish!C:C)+_xlfn.IFNA(INDEX(activity!G:G,MATCH(use_fish!C93,activity!A:A,0)),0)</f>
        <v>183</v>
      </c>
      <c r="E93" s="2">
        <f t="shared" ref="E93:E99" si="8">1/D93</f>
        <v>5.4644808743169399E-3</v>
      </c>
      <c r="F93" s="2" t="s">
        <v>28</v>
      </c>
      <c r="G93" s="5" t="str">
        <f>INDEX(base_fish!E:E,MATCH(use_fish!B93,base_fish!A:A,0))&amp;_xlfn.IFNA("+"&amp;INDEX(activity!H:H,MATCH(use_fish!C93,activity!A:A,0)),"")</f>
        <v>黄金魔鬼鱼+威力提升</v>
      </c>
      <c r="H93" s="2">
        <f>LOOKUP(use_fish!B93,base_fish!A:A,base_fish!F:F)+_xlfn.IFNA(INDEX(activity!G:G,MATCH(use_fish!C93,activity!A:A,0)),0)</f>
        <v>183</v>
      </c>
      <c r="I93">
        <v>1</v>
      </c>
      <c r="J93">
        <f>LOOKUP(use_fish!B93,base_fish!A:A,base_fish!G:G)</f>
        <v>0</v>
      </c>
      <c r="K93">
        <f>LOOKUP(use_fish!B93,base_fish!A:A,base_fish!F:F)</f>
        <v>120</v>
      </c>
      <c r="L93">
        <v>1</v>
      </c>
    </row>
    <row r="94" spans="1:12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LOOKUP(use_fish!B94,base_fish!A:A,base_fish!C:C)+_xlfn.IFNA(INDEX(activity!G:G,MATCH(use_fish!C94,activity!A:A,0)),0)</f>
        <v>183</v>
      </c>
      <c r="E94" s="2">
        <f t="shared" si="8"/>
        <v>5.4644808743169399E-3</v>
      </c>
      <c r="F94" s="2" t="s">
        <v>28</v>
      </c>
      <c r="G94" s="5" t="str">
        <f>INDEX(base_fish!E:E,MATCH(use_fish!B94,base_fish!A:A,0))&amp;_xlfn.IFNA("+"&amp;INDEX(activity!H:H,MATCH(use_fish!C94,activity!A:A,0)),"")</f>
        <v>黄金魔鬼鱼+暴击时刻</v>
      </c>
      <c r="H94" s="2">
        <f>LOOKUP(use_fish!B94,base_fish!A:A,base_fish!F:F)+_xlfn.IFNA(INDEX(activity!G:G,MATCH(use_fish!C94,activity!A:A,0)),0)</f>
        <v>183</v>
      </c>
      <c r="I94">
        <v>1</v>
      </c>
      <c r="J94">
        <f>LOOKUP(use_fish!B94,base_fish!A:A,base_fish!G:G)</f>
        <v>0</v>
      </c>
      <c r="K94">
        <f>LOOKUP(use_fish!B94,base_fish!A:A,base_fish!F:F)</f>
        <v>120</v>
      </c>
      <c r="L94">
        <v>1</v>
      </c>
    </row>
    <row r="95" spans="1:12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LOOKUP(use_fish!B95,base_fish!A:A,base_fish!C:C)+_xlfn.IFNA(INDEX(activity!G:G,MATCH(use_fish!C95,activity!A:A,0)),0)</f>
        <v>170</v>
      </c>
      <c r="E95" s="2">
        <f t="shared" si="8"/>
        <v>5.8823529411764705E-3</v>
      </c>
      <c r="F95" s="2" t="s">
        <v>28</v>
      </c>
      <c r="G95" s="5" t="str">
        <f>INDEX(base_fish!E:E,MATCH(use_fish!B95,base_fish!A:A,0))&amp;_xlfn.IFNA("+"&amp;INDEX(activity!H:H,MATCH(use_fish!C95,activity!A:A,0)),"")</f>
        <v>黄金魔鬼鱼+闪电</v>
      </c>
      <c r="H95" s="2">
        <f>LOOKUP(use_fish!B95,base_fish!A:A,base_fish!F:F)+_xlfn.IFNA(INDEX(activity!G:G,MATCH(use_fish!C95,activity!A:A,0)),0)</f>
        <v>170</v>
      </c>
      <c r="I95">
        <v>1</v>
      </c>
      <c r="J95">
        <f>LOOKUP(use_fish!B95,base_fish!A:A,base_fish!G:G)</f>
        <v>0</v>
      </c>
      <c r="K95">
        <f>LOOKUP(use_fish!B95,base_fish!A:A,base_fish!F:F)</f>
        <v>120</v>
      </c>
      <c r="L95">
        <v>1</v>
      </c>
    </row>
    <row r="96" spans="1:12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LOOKUP(use_fish!B96,base_fish!A:A,base_fish!C:C)+_xlfn.IFNA(INDEX(activity!G:G,MATCH(use_fish!C96,activity!A:A,0)),0)</f>
        <v>170</v>
      </c>
      <c r="E96" s="2">
        <f t="shared" si="8"/>
        <v>5.8823529411764705E-3</v>
      </c>
      <c r="F96" s="2" t="s">
        <v>28</v>
      </c>
      <c r="G96" s="5" t="str">
        <f>INDEX(base_fish!E:E,MATCH(use_fish!B96,base_fish!A:A,0))&amp;_xlfn.IFNA("+"&amp;INDEX(activity!H:H,MATCH(use_fish!C96,activity!A:A,0)),"")</f>
        <v>黄金魔鬼鱼+免费子弹</v>
      </c>
      <c r="H96" s="2">
        <f>LOOKUP(use_fish!B96,base_fish!A:A,base_fish!F:F)+_xlfn.IFNA(INDEX(activity!G:G,MATCH(use_fish!C96,activity!A:A,0)),0)</f>
        <v>170</v>
      </c>
      <c r="I96">
        <v>1</v>
      </c>
      <c r="J96">
        <f>LOOKUP(use_fish!B96,base_fish!A:A,base_fish!G:G)</f>
        <v>0</v>
      </c>
      <c r="K96">
        <f>LOOKUP(use_fish!B96,base_fish!A:A,base_fish!F:F)</f>
        <v>120</v>
      </c>
      <c r="L96">
        <v>1</v>
      </c>
    </row>
    <row r="97" spans="1:12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LOOKUP(use_fish!B97,base_fish!A:A,base_fish!C:C)+_xlfn.IFNA(INDEX(activity!G:G,MATCH(use_fish!C97,activity!A:A,0)),0)</f>
        <v>170</v>
      </c>
      <c r="E97" s="2">
        <f t="shared" si="8"/>
        <v>5.8823529411764705E-3</v>
      </c>
      <c r="F97" s="2" t="s">
        <v>28</v>
      </c>
      <c r="G97" s="5" t="str">
        <f>INDEX(base_fish!E:E,MATCH(use_fish!B97,base_fish!A:A,0))&amp;_xlfn.IFNA("+"&amp;INDEX(activity!H:H,MATCH(use_fish!C97,activity!A:A,0)),"")</f>
        <v>黄金魔鬼鱼+闪电</v>
      </c>
      <c r="H97" s="2">
        <f>LOOKUP(use_fish!B97,base_fish!A:A,base_fish!F:F)+_xlfn.IFNA(INDEX(activity!G:G,MATCH(use_fish!C97,activity!A:A,0)),0)</f>
        <v>170</v>
      </c>
      <c r="I97">
        <v>1</v>
      </c>
      <c r="J97">
        <f>LOOKUP(use_fish!B97,base_fish!A:A,base_fish!G:G)</f>
        <v>0</v>
      </c>
      <c r="K97">
        <f>LOOKUP(use_fish!B97,base_fish!A:A,base_fish!F:F)</f>
        <v>120</v>
      </c>
      <c r="L97">
        <v>1</v>
      </c>
    </row>
    <row r="98" spans="1:12" x14ac:dyDescent="0.2">
      <c r="A98" s="3">
        <v>97</v>
      </c>
      <c r="B98" s="3">
        <v>16</v>
      </c>
      <c r="C98" s="3">
        <v>3</v>
      </c>
      <c r="D98" s="2">
        <f>LOOKUP(use_fish!B98,base_fish!A:A,base_fish!C:C)+_xlfn.IFNA(INDEX(activity!G:G,MATCH(use_fish!C98,activity!A:A,0)),0)</f>
        <v>183</v>
      </c>
      <c r="E98" s="2">
        <f t="shared" si="8"/>
        <v>5.4644808743169399E-3</v>
      </c>
      <c r="F98" s="2" t="s">
        <v>28</v>
      </c>
      <c r="G98" s="5" t="str">
        <f>INDEX(base_fish!E:E,MATCH(use_fish!B98,base_fish!A:A,0))&amp;_xlfn.IFNA("+"&amp;INDEX(activity!H:H,MATCH(use_fish!C98,activity!A:A,0)),"")</f>
        <v>黄金魔鬼鱼+暴击时刻</v>
      </c>
      <c r="H98" s="2">
        <f>LOOKUP(use_fish!B98,base_fish!A:A,base_fish!F:F)+_xlfn.IFNA(INDEX(activity!G:G,MATCH(use_fish!C98,activity!A:A,0)),0)</f>
        <v>183</v>
      </c>
      <c r="I98">
        <v>1</v>
      </c>
      <c r="J98">
        <f>LOOKUP(use_fish!B98,base_fish!A:A,base_fish!G:G)</f>
        <v>0</v>
      </c>
      <c r="K98">
        <f>LOOKUP(use_fish!B98,base_fish!A:A,base_fish!F:F)</f>
        <v>120</v>
      </c>
      <c r="L98">
        <v>1</v>
      </c>
    </row>
    <row r="99" spans="1:12" x14ac:dyDescent="0.2">
      <c r="A99" s="3">
        <v>98</v>
      </c>
      <c r="B99" s="3">
        <v>16</v>
      </c>
      <c r="C99" s="3"/>
      <c r="D99" s="2">
        <f>LOOKUP(use_fish!B99,base_fish!A:A,base_fish!C:C)+_xlfn.IFNA(INDEX(activity!G:G,MATCH(use_fish!C99,activity!A:A,0)),0)</f>
        <v>120</v>
      </c>
      <c r="E99" s="2">
        <f t="shared" si="8"/>
        <v>8.3333333333333332E-3</v>
      </c>
      <c r="F99" s="2" t="s">
        <v>28</v>
      </c>
      <c r="G99" s="5" t="str">
        <f>INDEX(base_fish!E:E,MATCH(use_fish!B99,base_fish!A:A,0))&amp;_xlfn.IFNA("+"&amp;INDEX(activity!H:H,MATCH(use_fish!C99,activity!A:A,0)),"")</f>
        <v>黄金魔鬼鱼</v>
      </c>
      <c r="H99" s="2">
        <f>LOOKUP(use_fish!B99,base_fish!A:A,base_fish!F:F)+_xlfn.IFNA(INDEX(activity!G:G,MATCH(use_fish!C99,activity!A:A,0)),0)</f>
        <v>120</v>
      </c>
      <c r="I99">
        <v>1</v>
      </c>
      <c r="J99">
        <f>LOOKUP(use_fish!B99,base_fish!A:A,base_fish!G:G)</f>
        <v>0</v>
      </c>
      <c r="K99">
        <f>LOOKUP(use_fish!B99,base_fish!A:A,base_fish!F:F)</f>
        <v>120</v>
      </c>
      <c r="L99">
        <v>1</v>
      </c>
    </row>
    <row r="100" spans="1:12" x14ac:dyDescent="0.2">
      <c r="A100" s="3">
        <v>99</v>
      </c>
      <c r="B100" s="3">
        <v>16</v>
      </c>
      <c r="C100" s="3"/>
      <c r="D100" s="2">
        <f>LOOKUP(use_fish!B100,base_fish!A:A,base_fish!C:C)+_xlfn.IFNA(INDEX(activity!G:G,MATCH(use_fish!C100,activity!A:A,0)),0)</f>
        <v>120</v>
      </c>
      <c r="E100" s="2">
        <f>1/D100</f>
        <v>8.3333333333333332E-3</v>
      </c>
      <c r="F100" s="2" t="s">
        <v>28</v>
      </c>
      <c r="G100" s="5" t="str">
        <f>INDEX(base_fish!E:E,MATCH(use_fish!B100,base_fish!A:A,0))&amp;_xlfn.IFNA("+"&amp;INDEX(activity!H:H,MATCH(use_fish!C100,activity!A:A,0)),"")</f>
        <v>黄金魔鬼鱼</v>
      </c>
      <c r="H100" s="2">
        <f>LOOKUP(use_fish!B100,base_fish!A:A,base_fish!F:F)+_xlfn.IFNA(INDEX(activity!G:G,MATCH(use_fish!C100,activity!A:A,0)),0)</f>
        <v>120</v>
      </c>
      <c r="I100">
        <v>1</v>
      </c>
      <c r="J100">
        <f>LOOKUP(use_fish!B100,base_fish!A:A,base_fish!G:G)</f>
        <v>0</v>
      </c>
      <c r="K100">
        <f>LOOKUP(use_fish!B100,base_fish!A:A,base_fish!F:F)</f>
        <v>120</v>
      </c>
      <c r="L100">
        <v>1</v>
      </c>
    </row>
    <row r="101" spans="1:12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LOOKUP(use_fish!B101,base_fish!A:A,base_fish!C:C)+_xlfn.IFNA(INDEX(activity!G:G,MATCH(use_fish!C101,activity!A:A,0)),0)</f>
        <v>150</v>
      </c>
      <c r="E101" s="2">
        <f>1/D101</f>
        <v>6.6666666666666671E-3</v>
      </c>
      <c r="F101" s="2" t="s">
        <v>28</v>
      </c>
      <c r="G101" s="5" t="str">
        <f>INDEX(base_fish!E:E,MATCH(use_fish!B101,base_fish!A:A,0))&amp;_xlfn.IFNA("+"&amp;INDEX(activity!H:H,MATCH(use_fish!C101,activity!A:A,0)),"")</f>
        <v>黄金魔鬼鱼+炸弹</v>
      </c>
      <c r="H101" s="2">
        <f>LOOKUP(use_fish!B101,base_fish!A:A,base_fish!F:F)+_xlfn.IFNA(INDEX(activity!G:G,MATCH(use_fish!C101,activity!A:A,0)),0)</f>
        <v>150</v>
      </c>
      <c r="I101">
        <v>1</v>
      </c>
      <c r="J101">
        <f>LOOKUP(use_fish!B101,base_fish!A:A,base_fish!G:G)</f>
        <v>0</v>
      </c>
      <c r="K101">
        <f>LOOKUP(use_fish!B101,base_fish!A:A,base_fish!F:F)</f>
        <v>120</v>
      </c>
      <c r="L101">
        <v>1</v>
      </c>
    </row>
    <row r="102" spans="1:12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LOOKUP(use_fish!B102,base_fish!A:A,base_fish!C:C)+_xlfn.IFNA(INDEX(activity!G:G,MATCH(use_fish!C102,activity!A:A,0)),0)</f>
        <v>140</v>
      </c>
      <c r="E102" s="2">
        <f>1/D102</f>
        <v>7.1428571428571426E-3</v>
      </c>
      <c r="F102" s="2" t="s">
        <v>28</v>
      </c>
      <c r="G102" s="5" t="str">
        <f>INDEX(base_fish!E:E,MATCH(use_fish!B102,base_fish!A:A,0))&amp;_xlfn.IFNA("+"&amp;INDEX(activity!H:H,MATCH(use_fish!C102,activity!A:A,0)),"")</f>
        <v>黄金魔鬼鱼+炸弹</v>
      </c>
      <c r="H102" s="2">
        <f>LOOKUP(use_fish!B102,base_fish!A:A,base_fish!F:F)+_xlfn.IFNA(INDEX(activity!G:G,MATCH(use_fish!C102,activity!A:A,0)),0)</f>
        <v>140</v>
      </c>
      <c r="I102">
        <v>1</v>
      </c>
      <c r="J102">
        <f>LOOKUP(use_fish!B102,base_fish!A:A,base_fish!G:G)</f>
        <v>0</v>
      </c>
      <c r="K102">
        <f>LOOKUP(use_fish!B102,base_fish!A:A,base_fish!F:F)</f>
        <v>120</v>
      </c>
      <c r="L102">
        <v>1</v>
      </c>
    </row>
    <row r="103" spans="1:12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LOOKUP(use_fish!B103,base_fish!A:A,base_fish!C:C)+_xlfn.IFNA(INDEX(activity!G:G,MATCH(use_fish!C103,activity!A:A,0)),0)</f>
        <v>6</v>
      </c>
      <c r="E103" s="2">
        <f t="shared" ref="E103:E112" si="9">1/D103</f>
        <v>0.16666666666666666</v>
      </c>
      <c r="F103" s="2" t="s">
        <v>28</v>
      </c>
      <c r="G103" s="5" t="str">
        <f>INDEX(base_fish!E:E,MATCH(use_fish!B103,base_fish!A:A,0))&amp;_xlfn.IFNA("+"&amp;INDEX(activity!H:H,MATCH(use_fish!C103,activity!A:A,0)),"")</f>
        <v>彩纹鱼+临时活动</v>
      </c>
      <c r="H103" s="2">
        <f>LOOKUP(use_fish!B103,base_fish!A:A,base_fish!F:F)+_xlfn.IFNA(INDEX(activity!G:G,MATCH(use_fish!C103,activity!A:A,0)),0)</f>
        <v>6</v>
      </c>
      <c r="I103">
        <v>1</v>
      </c>
      <c r="J103">
        <f>LOOKUP(use_fish!B103,base_fish!A:A,base_fish!G:G)</f>
        <v>0</v>
      </c>
      <c r="K103">
        <f>LOOKUP(use_fish!B103,base_fish!A:A,base_fish!F:F)</f>
        <v>5</v>
      </c>
      <c r="L103">
        <v>1</v>
      </c>
    </row>
    <row r="104" spans="1:12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LOOKUP(use_fish!B104,base_fish!A:A,base_fish!C:C)+_xlfn.IFNA(INDEX(activity!G:G,MATCH(use_fish!C104,activity!A:A,0)),0)</f>
        <v>9</v>
      </c>
      <c r="E104" s="2">
        <f t="shared" si="9"/>
        <v>0.1111111111111111</v>
      </c>
      <c r="F104" s="2" t="s">
        <v>28</v>
      </c>
      <c r="G104" s="5" t="str">
        <f>INDEX(base_fish!E:E,MATCH(use_fish!B104,base_fish!A:A,0))&amp;_xlfn.IFNA("+"&amp;INDEX(activity!H:H,MATCH(use_fish!C104,activity!A:A,0)),"")</f>
        <v>蓝河豚+临时活动</v>
      </c>
      <c r="H104" s="2">
        <f>LOOKUP(use_fish!B104,base_fish!A:A,base_fish!F:F)+_xlfn.IFNA(INDEX(activity!G:G,MATCH(use_fish!C104,activity!A:A,0)),0)</f>
        <v>9</v>
      </c>
      <c r="I104">
        <v>1</v>
      </c>
      <c r="J104">
        <f>LOOKUP(use_fish!B104,base_fish!A:A,base_fish!G:G)</f>
        <v>0</v>
      </c>
      <c r="K104">
        <f>LOOKUP(use_fish!B104,base_fish!A:A,base_fish!F:F)</f>
        <v>8</v>
      </c>
      <c r="L104">
        <v>1</v>
      </c>
    </row>
    <row r="105" spans="1:12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LOOKUP(use_fish!B105,base_fish!A:A,base_fish!C:C)+_xlfn.IFNA(INDEX(activity!G:G,MATCH(use_fish!C105,activity!A:A,0)),0)</f>
        <v>16</v>
      </c>
      <c r="E105" s="2">
        <f t="shared" si="9"/>
        <v>6.25E-2</v>
      </c>
      <c r="F105" s="2" t="s">
        <v>28</v>
      </c>
      <c r="G105" s="5" t="str">
        <f>INDEX(base_fish!E:E,MATCH(use_fish!B105,base_fish!A:A,0))&amp;_xlfn.IFNA("+"&amp;INDEX(activity!H:H,MATCH(use_fish!C105,activity!A:A,0)),"")</f>
        <v>小丑鱼+临时活动</v>
      </c>
      <c r="H105" s="2">
        <f>LOOKUP(use_fish!B105,base_fish!A:A,base_fish!F:F)+_xlfn.IFNA(INDEX(activity!G:G,MATCH(use_fish!C105,activity!A:A,0)),0)</f>
        <v>16</v>
      </c>
      <c r="I105">
        <v>1</v>
      </c>
      <c r="J105">
        <f>LOOKUP(use_fish!B105,base_fish!A:A,base_fish!G:G)</f>
        <v>0</v>
      </c>
      <c r="K105">
        <f>LOOKUP(use_fish!B105,base_fish!A:A,base_fish!F:F)</f>
        <v>15</v>
      </c>
      <c r="L105">
        <v>1</v>
      </c>
    </row>
    <row r="106" spans="1:12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LOOKUP(use_fish!B106,base_fish!A:A,base_fish!C:C)+_xlfn.IFNA(INDEX(activity!G:G,MATCH(use_fish!C106,activity!A:A,0)),0)</f>
        <v>21</v>
      </c>
      <c r="E106" s="2">
        <f t="shared" si="9"/>
        <v>4.7619047619047616E-2</v>
      </c>
      <c r="F106" s="2" t="s">
        <v>28</v>
      </c>
      <c r="G106" s="5" t="str">
        <f>INDEX(base_fish!E:E,MATCH(use_fish!B106,base_fish!A:A,0))&amp;_xlfn.IFNA("+"&amp;INDEX(activity!H:H,MATCH(use_fish!C106,activity!A:A,0)),"")</f>
        <v>蓝灯鱼+临时活动</v>
      </c>
      <c r="H106" s="2">
        <f>LOOKUP(use_fish!B106,base_fish!A:A,base_fish!F:F)+_xlfn.IFNA(INDEX(activity!G:G,MATCH(use_fish!C106,activity!A:A,0)),0)</f>
        <v>21</v>
      </c>
      <c r="I106">
        <v>1</v>
      </c>
      <c r="J106">
        <f>LOOKUP(use_fish!B106,base_fish!A:A,base_fish!G:G)</f>
        <v>0</v>
      </c>
      <c r="K106">
        <f>LOOKUP(use_fish!B106,base_fish!A:A,base_fish!F:F)</f>
        <v>20</v>
      </c>
      <c r="L106">
        <v>1</v>
      </c>
    </row>
    <row r="107" spans="1:12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LOOKUP(use_fish!B107,base_fish!A:A,base_fish!C:C)+_xlfn.IFNA(INDEX(activity!G:G,MATCH(use_fish!C107,activity!A:A,0)),0)</f>
        <v>31</v>
      </c>
      <c r="E107" s="2">
        <f t="shared" si="9"/>
        <v>3.2258064516129031E-2</v>
      </c>
      <c r="F107" s="2" t="s">
        <v>28</v>
      </c>
      <c r="G107" s="5" t="str">
        <f>INDEX(base_fish!E:E,MATCH(use_fish!B107,base_fish!A:A,0))&amp;_xlfn.IFNA("+"&amp;INDEX(activity!H:H,MATCH(use_fish!C107,activity!A:A,0)),"")</f>
        <v>红杉鱼+临时活动</v>
      </c>
      <c r="H107" s="2">
        <f>LOOKUP(use_fish!B107,base_fish!A:A,base_fish!F:F)+_xlfn.IFNA(INDEX(activity!G:G,MATCH(use_fish!C107,activity!A:A,0)),0)</f>
        <v>31</v>
      </c>
      <c r="I107">
        <v>1</v>
      </c>
      <c r="J107">
        <f>LOOKUP(use_fish!B107,base_fish!A:A,base_fish!G:G)</f>
        <v>0</v>
      </c>
      <c r="K107">
        <f>LOOKUP(use_fish!B107,base_fish!A:A,base_fish!F:F)</f>
        <v>30</v>
      </c>
      <c r="L107">
        <v>1</v>
      </c>
    </row>
    <row r="108" spans="1:12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LOOKUP(use_fish!B108,base_fish!A:A,base_fish!C:C)+_xlfn.IFNA(INDEX(activity!G:G,MATCH(use_fish!C108,activity!A:A,0)),0)</f>
        <v>41</v>
      </c>
      <c r="E108" s="2">
        <f t="shared" si="9"/>
        <v>2.4390243902439025E-2</v>
      </c>
      <c r="F108" s="2" t="s">
        <v>28</v>
      </c>
      <c r="G108" s="5" t="str">
        <f>INDEX(base_fish!E:E,MATCH(use_fish!B108,base_fish!A:A,0))&amp;_xlfn.IFNA("+"&amp;INDEX(activity!H:H,MATCH(use_fish!C108,activity!A:A,0)),"")</f>
        <v>海龟+临时活动</v>
      </c>
      <c r="H108" s="2">
        <f>LOOKUP(use_fish!B108,base_fish!A:A,base_fish!F:F)+_xlfn.IFNA(INDEX(activity!G:G,MATCH(use_fish!C108,activity!A:A,0)),0)</f>
        <v>41</v>
      </c>
      <c r="I108">
        <v>1</v>
      </c>
      <c r="J108">
        <f>LOOKUP(use_fish!B108,base_fish!A:A,base_fish!G:G)</f>
        <v>0</v>
      </c>
      <c r="K108">
        <f>LOOKUP(use_fish!B108,base_fish!A:A,base_fish!F:F)</f>
        <v>40</v>
      </c>
      <c r="L108">
        <v>1</v>
      </c>
    </row>
    <row r="109" spans="1:12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LOOKUP(use_fish!B109,base_fish!A:A,base_fish!C:C)+_xlfn.IFNA(INDEX(activity!G:G,MATCH(use_fish!C109,activity!A:A,0)),0)</f>
        <v>51</v>
      </c>
      <c r="E109" s="2">
        <f t="shared" si="9"/>
        <v>1.9607843137254902E-2</v>
      </c>
      <c r="F109" s="2" t="s">
        <v>28</v>
      </c>
      <c r="G109" s="5" t="str">
        <f>INDEX(base_fish!E:E,MATCH(use_fish!B109,base_fish!A:A,0))&amp;_xlfn.IFNA("+"&amp;INDEX(activity!H:H,MATCH(use_fish!C109,activity!A:A,0)),"")</f>
        <v>灯笼鱼+临时活动</v>
      </c>
      <c r="H109" s="2">
        <f>LOOKUP(use_fish!B109,base_fish!A:A,base_fish!F:F)+_xlfn.IFNA(INDEX(activity!G:G,MATCH(use_fish!C109,activity!A:A,0)),0)</f>
        <v>51</v>
      </c>
      <c r="I109">
        <v>1</v>
      </c>
      <c r="J109">
        <f>LOOKUP(use_fish!B109,base_fish!A:A,base_fish!G:G)</f>
        <v>0</v>
      </c>
      <c r="K109">
        <f>LOOKUP(use_fish!B109,base_fish!A:A,base_fish!F:F)</f>
        <v>50</v>
      </c>
      <c r="L109">
        <v>1</v>
      </c>
    </row>
    <row r="110" spans="1:12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LOOKUP(use_fish!B110,base_fish!A:A,base_fish!C:C)+_xlfn.IFNA(INDEX(activity!G:G,MATCH(use_fish!C110,activity!A:A,0)),0)</f>
        <v>61</v>
      </c>
      <c r="E110" s="2">
        <f t="shared" si="9"/>
        <v>1.6393442622950821E-2</v>
      </c>
      <c r="F110" s="2" t="s">
        <v>28</v>
      </c>
      <c r="G110" s="5" t="str">
        <f>INDEX(base_fish!E:E,MATCH(use_fish!B110,base_fish!A:A,0))&amp;_xlfn.IFNA("+"&amp;INDEX(activity!H:H,MATCH(use_fish!C110,activity!A:A,0)),"")</f>
        <v>魔鬼鱼+临时活动</v>
      </c>
      <c r="H110" s="2">
        <f>LOOKUP(use_fish!B110,base_fish!A:A,base_fish!F:F)+_xlfn.IFNA(INDEX(activity!G:G,MATCH(use_fish!C110,activity!A:A,0)),0)</f>
        <v>61</v>
      </c>
      <c r="I110">
        <v>1</v>
      </c>
      <c r="J110">
        <f>LOOKUP(use_fish!B110,base_fish!A:A,base_fish!G:G)</f>
        <v>0</v>
      </c>
      <c r="K110">
        <f>LOOKUP(use_fish!B110,base_fish!A:A,base_fish!F:F)</f>
        <v>60</v>
      </c>
      <c r="L110">
        <v>1</v>
      </c>
    </row>
    <row r="111" spans="1:12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LOOKUP(use_fish!B111,base_fish!A:A,base_fish!C:C)+_xlfn.IFNA(INDEX(activity!G:G,MATCH(use_fish!C111,activity!A:A,0)),0)</f>
        <v>6</v>
      </c>
      <c r="E111" s="2">
        <f t="shared" si="9"/>
        <v>0.16666666666666666</v>
      </c>
      <c r="F111" s="2" t="s">
        <v>28</v>
      </c>
      <c r="G111" s="5" t="str">
        <f>INDEX(base_fish!E:E,MATCH(use_fish!B111,base_fish!A:A,0))&amp;_xlfn.IFNA("+"&amp;INDEX(activity!H:H,MATCH(use_fish!C111,activity!A:A,0)),"")</f>
        <v>彩纹鱼+临时活动</v>
      </c>
      <c r="H111" s="2">
        <f>LOOKUP(use_fish!B111,base_fish!A:A,base_fish!F:F)+_xlfn.IFNA(INDEX(activity!G:G,MATCH(use_fish!C111,activity!A:A,0)),0)</f>
        <v>6</v>
      </c>
      <c r="I111">
        <v>1</v>
      </c>
      <c r="J111">
        <f>LOOKUP(use_fish!B111,base_fish!A:A,base_fish!G:G)</f>
        <v>0</v>
      </c>
      <c r="K111">
        <f>LOOKUP(use_fish!B111,base_fish!A:A,base_fish!F:F)</f>
        <v>5</v>
      </c>
      <c r="L111">
        <v>1</v>
      </c>
    </row>
    <row r="112" spans="1:12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LOOKUP(use_fish!B112,base_fish!A:A,base_fish!C:C)+_xlfn.IFNA(INDEX(activity!G:G,MATCH(use_fish!C112,activity!A:A,0)),0)</f>
        <v>9</v>
      </c>
      <c r="E112" s="2">
        <f t="shared" si="9"/>
        <v>0.1111111111111111</v>
      </c>
      <c r="F112" s="2" t="s">
        <v>28</v>
      </c>
      <c r="G112" s="5" t="str">
        <f>INDEX(base_fish!E:E,MATCH(use_fish!B112,base_fish!A:A,0))&amp;_xlfn.IFNA("+"&amp;INDEX(activity!H:H,MATCH(use_fish!C112,activity!A:A,0)),"")</f>
        <v>蓝河豚+临时活动</v>
      </c>
      <c r="H112" s="2">
        <f>LOOKUP(use_fish!B112,base_fish!A:A,base_fish!F:F)+_xlfn.IFNA(INDEX(activity!G:G,MATCH(use_fish!C112,activity!A:A,0)),0)</f>
        <v>9</v>
      </c>
      <c r="I112">
        <v>1</v>
      </c>
      <c r="J112">
        <f>LOOKUP(use_fish!B112,base_fish!A:A,base_fish!G:G)</f>
        <v>0</v>
      </c>
      <c r="K112">
        <f>LOOKUP(use_fish!B112,base_fish!A:A,base_fish!F:F)</f>
        <v>8</v>
      </c>
      <c r="L112">
        <v>1</v>
      </c>
    </row>
    <row r="113" spans="1:12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LOOKUP(use_fish!B113,base_fish!A:A,base_fish!C:C)+_xlfn.IFNA(INDEX(activity!G:G,MATCH(use_fish!C113,activity!A:A,0)),0)</f>
        <v>16</v>
      </c>
      <c r="E113" s="2">
        <f t="shared" ref="E113:E118" si="10">1/D113</f>
        <v>6.25E-2</v>
      </c>
      <c r="F113" s="2" t="s">
        <v>28</v>
      </c>
      <c r="G113" s="5" t="str">
        <f>INDEX(base_fish!E:E,MATCH(use_fish!B113,base_fish!A:A,0))&amp;_xlfn.IFNA("+"&amp;INDEX(activity!H:H,MATCH(use_fish!C113,activity!A:A,0)),"")</f>
        <v>小丑鱼+临时活动</v>
      </c>
      <c r="H113" s="2">
        <f>LOOKUP(use_fish!B113,base_fish!A:A,base_fish!F:F)+_xlfn.IFNA(INDEX(activity!G:G,MATCH(use_fish!C113,activity!A:A,0)),0)</f>
        <v>16</v>
      </c>
      <c r="I113">
        <v>1</v>
      </c>
      <c r="J113">
        <f>LOOKUP(use_fish!B113,base_fish!A:A,base_fish!G:G)</f>
        <v>0</v>
      </c>
      <c r="K113">
        <f>LOOKUP(use_fish!B113,base_fish!A:A,base_fish!F:F)</f>
        <v>15</v>
      </c>
      <c r="L113">
        <v>1</v>
      </c>
    </row>
    <row r="114" spans="1:12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LOOKUP(use_fish!B114,base_fish!A:A,base_fish!C:C)+_xlfn.IFNA(INDEX(activity!G:G,MATCH(use_fish!C114,activity!A:A,0)),0)</f>
        <v>21</v>
      </c>
      <c r="E114" s="2">
        <f t="shared" si="10"/>
        <v>4.7619047619047616E-2</v>
      </c>
      <c r="F114" s="2" t="s">
        <v>28</v>
      </c>
      <c r="G114" s="5" t="str">
        <f>INDEX(base_fish!E:E,MATCH(use_fish!B114,base_fish!A:A,0))&amp;_xlfn.IFNA("+"&amp;INDEX(activity!H:H,MATCH(use_fish!C114,activity!A:A,0)),"")</f>
        <v>蓝灯鱼+临时活动</v>
      </c>
      <c r="H114" s="2">
        <f>LOOKUP(use_fish!B114,base_fish!A:A,base_fish!F:F)+_xlfn.IFNA(INDEX(activity!G:G,MATCH(use_fish!C114,activity!A:A,0)),0)</f>
        <v>21</v>
      </c>
      <c r="I114">
        <v>1</v>
      </c>
      <c r="J114">
        <f>LOOKUP(use_fish!B114,base_fish!A:A,base_fish!G:G)</f>
        <v>0</v>
      </c>
      <c r="K114">
        <f>LOOKUP(use_fish!B114,base_fish!A:A,base_fish!F:F)</f>
        <v>20</v>
      </c>
      <c r="L114">
        <v>1</v>
      </c>
    </row>
    <row r="115" spans="1:12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LOOKUP(use_fish!B115,base_fish!A:A,base_fish!C:C)+_xlfn.IFNA(INDEX(activity!G:G,MATCH(use_fish!C115,activity!A:A,0)),0)</f>
        <v>31</v>
      </c>
      <c r="E115" s="2">
        <f t="shared" si="10"/>
        <v>3.2258064516129031E-2</v>
      </c>
      <c r="F115" s="2" t="s">
        <v>28</v>
      </c>
      <c r="G115" s="5" t="str">
        <f>INDEX(base_fish!E:E,MATCH(use_fish!B115,base_fish!A:A,0))&amp;_xlfn.IFNA("+"&amp;INDEX(activity!H:H,MATCH(use_fish!C115,activity!A:A,0)),"")</f>
        <v>红杉鱼+临时活动</v>
      </c>
      <c r="H115" s="2">
        <f>LOOKUP(use_fish!B115,base_fish!A:A,base_fish!F:F)+_xlfn.IFNA(INDEX(activity!G:G,MATCH(use_fish!C115,activity!A:A,0)),0)</f>
        <v>31</v>
      </c>
      <c r="I115">
        <v>1</v>
      </c>
      <c r="J115">
        <f>LOOKUP(use_fish!B115,base_fish!A:A,base_fish!G:G)</f>
        <v>0</v>
      </c>
      <c r="K115">
        <f>LOOKUP(use_fish!B115,base_fish!A:A,base_fish!F:F)</f>
        <v>30</v>
      </c>
      <c r="L115">
        <v>1</v>
      </c>
    </row>
    <row r="116" spans="1:12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LOOKUP(use_fish!B116,base_fish!A:A,base_fish!C:C)+_xlfn.IFNA(INDEX(activity!G:G,MATCH(use_fish!C116,activity!A:A,0)),0)</f>
        <v>41</v>
      </c>
      <c r="E116" s="2">
        <f t="shared" si="10"/>
        <v>2.4390243902439025E-2</v>
      </c>
      <c r="F116" s="2" t="s">
        <v>28</v>
      </c>
      <c r="G116" s="5" t="str">
        <f>INDEX(base_fish!E:E,MATCH(use_fish!B116,base_fish!A:A,0))&amp;_xlfn.IFNA("+"&amp;INDEX(activity!H:H,MATCH(use_fish!C116,activity!A:A,0)),"")</f>
        <v>海龟+临时活动</v>
      </c>
      <c r="H116" s="2">
        <f>LOOKUP(use_fish!B116,base_fish!A:A,base_fish!F:F)+_xlfn.IFNA(INDEX(activity!G:G,MATCH(use_fish!C116,activity!A:A,0)),0)</f>
        <v>41</v>
      </c>
      <c r="I116">
        <v>1</v>
      </c>
      <c r="J116">
        <f>LOOKUP(use_fish!B116,base_fish!A:A,base_fish!G:G)</f>
        <v>0</v>
      </c>
      <c r="K116">
        <f>LOOKUP(use_fish!B116,base_fish!A:A,base_fish!F:F)</f>
        <v>40</v>
      </c>
      <c r="L116">
        <v>1</v>
      </c>
    </row>
    <row r="117" spans="1:12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LOOKUP(use_fish!B117,base_fish!A:A,base_fish!C:C)+_xlfn.IFNA(INDEX(activity!G:G,MATCH(use_fish!C117,activity!A:A,0)),0)</f>
        <v>51</v>
      </c>
      <c r="E117" s="2">
        <f t="shared" si="10"/>
        <v>1.9607843137254902E-2</v>
      </c>
      <c r="F117" s="2" t="s">
        <v>28</v>
      </c>
      <c r="G117" s="5" t="str">
        <f>INDEX(base_fish!E:E,MATCH(use_fish!B117,base_fish!A:A,0))&amp;_xlfn.IFNA("+"&amp;INDEX(activity!H:H,MATCH(use_fish!C117,activity!A:A,0)),"")</f>
        <v>灯笼鱼+临时活动</v>
      </c>
      <c r="H117" s="2">
        <f>LOOKUP(use_fish!B117,base_fish!A:A,base_fish!F:F)+_xlfn.IFNA(INDEX(activity!G:G,MATCH(use_fish!C117,activity!A:A,0)),0)</f>
        <v>51</v>
      </c>
      <c r="I117">
        <v>1</v>
      </c>
      <c r="J117">
        <f>LOOKUP(use_fish!B117,base_fish!A:A,base_fish!G:G)</f>
        <v>0</v>
      </c>
      <c r="K117">
        <f>LOOKUP(use_fish!B117,base_fish!A:A,base_fish!F:F)</f>
        <v>50</v>
      </c>
      <c r="L117">
        <v>1</v>
      </c>
    </row>
    <row r="118" spans="1:12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LOOKUP(use_fish!B118,base_fish!A:A,base_fish!C:C)+_xlfn.IFNA(INDEX(activity!G:G,MATCH(use_fish!C118,activity!A:A,0)),0)</f>
        <v>61</v>
      </c>
      <c r="E118" s="2">
        <f t="shared" si="10"/>
        <v>1.6393442622950821E-2</v>
      </c>
      <c r="F118" s="2" t="s">
        <v>28</v>
      </c>
      <c r="G118" s="5" t="str">
        <f>INDEX(base_fish!E:E,MATCH(use_fish!B118,base_fish!A:A,0))&amp;_xlfn.IFNA("+"&amp;INDEX(activity!H:H,MATCH(use_fish!C118,activity!A:A,0)),"")</f>
        <v>魔鬼鱼+临时活动</v>
      </c>
      <c r="H118" s="2">
        <f>LOOKUP(use_fish!B118,base_fish!A:A,base_fish!F:F)+_xlfn.IFNA(INDEX(activity!G:G,MATCH(use_fish!C118,activity!A:A,0)),0)</f>
        <v>61</v>
      </c>
      <c r="I118">
        <v>1</v>
      </c>
      <c r="J118">
        <f>LOOKUP(use_fish!B118,base_fish!A:A,base_fish!G:G)</f>
        <v>0</v>
      </c>
      <c r="K118">
        <f>LOOKUP(use_fish!B118,base_fish!A:A,base_fish!F:F)</f>
        <v>60</v>
      </c>
      <c r="L118">
        <v>1</v>
      </c>
    </row>
    <row r="119" spans="1:12" x14ac:dyDescent="0.2">
      <c r="A119" s="3">
        <v>118</v>
      </c>
      <c r="B119" s="3">
        <v>19</v>
      </c>
      <c r="C119" s="3">
        <v>1</v>
      </c>
      <c r="D119" s="2">
        <v>50000</v>
      </c>
      <c r="E119" s="2">
        <f t="shared" ref="E119:E129" si="11">1/D119</f>
        <v>2.0000000000000002E-5</v>
      </c>
      <c r="F119" s="2" t="s">
        <v>288</v>
      </c>
      <c r="G119" s="5" t="s">
        <v>323</v>
      </c>
      <c r="H119" s="2">
        <v>0</v>
      </c>
      <c r="I119">
        <v>3</v>
      </c>
      <c r="J119">
        <f>LOOKUP(use_fish!B119,base_fish!A:A,base_fish!G:G)</f>
        <v>0</v>
      </c>
      <c r="K119">
        <f>LOOKUP(use_fish!B119,base_fish!A:A,base_fish!F:F)</f>
        <v>0</v>
      </c>
      <c r="L119">
        <v>1</v>
      </c>
    </row>
    <row r="120" spans="1:12" x14ac:dyDescent="0.2">
      <c r="A120" s="3">
        <v>119</v>
      </c>
      <c r="B120" s="3">
        <v>19</v>
      </c>
      <c r="C120" s="3">
        <v>2</v>
      </c>
      <c r="D120" s="2">
        <v>500000</v>
      </c>
      <c r="E120" s="2">
        <f t="shared" si="11"/>
        <v>1.9999999999999999E-6</v>
      </c>
      <c r="F120" s="2" t="s">
        <v>288</v>
      </c>
      <c r="G120" s="5" t="s">
        <v>323</v>
      </c>
      <c r="H120" s="2">
        <v>0</v>
      </c>
      <c r="I120">
        <v>3</v>
      </c>
      <c r="J120">
        <f>LOOKUP(use_fish!B120,base_fish!A:A,base_fish!G:G)</f>
        <v>0</v>
      </c>
      <c r="K120">
        <f>LOOKUP(use_fish!B120,base_fish!A:A,base_fish!F:F)</f>
        <v>0</v>
      </c>
      <c r="L120">
        <v>1</v>
      </c>
    </row>
    <row r="121" spans="1:12" x14ac:dyDescent="0.2">
      <c r="A121" s="3">
        <v>120</v>
      </c>
      <c r="B121" s="3">
        <v>19</v>
      </c>
      <c r="C121" s="3">
        <v>3</v>
      </c>
      <c r="D121" s="2">
        <v>5000000</v>
      </c>
      <c r="E121" s="2">
        <f t="shared" si="11"/>
        <v>1.9999999999999999E-7</v>
      </c>
      <c r="F121" s="2" t="s">
        <v>288</v>
      </c>
      <c r="G121" s="5" t="s">
        <v>323</v>
      </c>
      <c r="H121" s="2">
        <v>0</v>
      </c>
      <c r="I121">
        <v>3</v>
      </c>
      <c r="J121">
        <f>LOOKUP(use_fish!B121,base_fish!A:A,base_fish!G:G)</f>
        <v>0</v>
      </c>
      <c r="K121">
        <f>LOOKUP(use_fish!B121,base_fish!A:A,base_fish!F:F)</f>
        <v>0</v>
      </c>
      <c r="L121">
        <v>1</v>
      </c>
    </row>
    <row r="122" spans="1:12" x14ac:dyDescent="0.2">
      <c r="A122" s="3">
        <v>121</v>
      </c>
      <c r="B122" s="3">
        <v>20</v>
      </c>
      <c r="C122" s="3"/>
      <c r="D122" s="2">
        <f>LOOKUP(use_fish!B122,base_fish!A:A,base_fish!C:C)+_xlfn.IFNA(INDEX(activity!G:G,MATCH(use_fish!C122,activity!A:A,0)),0)</f>
        <v>500</v>
      </c>
      <c r="E122" s="2">
        <f t="shared" si="11"/>
        <v>2E-3</v>
      </c>
      <c r="F122" s="2" t="s">
        <v>28</v>
      </c>
      <c r="G122" s="5" t="str">
        <f>INDEX(base_fish!E:E,MATCH(use_fish!B122,base_fish!A:A,0))&amp;_xlfn.IFNA("+"&amp;INDEX(activity!H:H,MATCH(use_fish!C122,activity!A:A,0)),"")</f>
        <v>黄金龙</v>
      </c>
      <c r="H122" s="2">
        <f>LOOKUP(use_fish!B122,base_fish!A:A,base_fish!F:F)+_xlfn.IFNA(INDEX(activity!G:G,MATCH(use_fish!C122,activity!A:A,0)),0)</f>
        <v>500</v>
      </c>
      <c r="I122">
        <v>1</v>
      </c>
      <c r="J122">
        <f>LOOKUP(use_fish!B122,base_fish!A:A,base_fish!G:G)</f>
        <v>0</v>
      </c>
      <c r="K122">
        <f>LOOKUP(use_fish!B122,base_fish!A:A,base_fish!F:F)</f>
        <v>500</v>
      </c>
      <c r="L122">
        <v>1</v>
      </c>
    </row>
    <row r="123" spans="1:12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28</v>
      </c>
      <c r="G123" s="3" t="s">
        <v>294</v>
      </c>
      <c r="H123" s="2">
        <v>0</v>
      </c>
      <c r="I123" s="12">
        <v>3</v>
      </c>
      <c r="J123" s="12">
        <v>0</v>
      </c>
      <c r="K123" s="13">
        <f>LOOKUP(use_fish!B123,base_fish!A:A,base_fish!F:F)</f>
        <v>0</v>
      </c>
      <c r="L123" s="13">
        <v>1</v>
      </c>
    </row>
    <row r="124" spans="1:12" x14ac:dyDescent="0.2">
      <c r="A124" s="3">
        <v>123</v>
      </c>
      <c r="B124" s="3">
        <v>22</v>
      </c>
      <c r="D124" s="2">
        <v>50</v>
      </c>
      <c r="E124" s="2">
        <f t="shared" si="11"/>
        <v>0.02</v>
      </c>
      <c r="F124" s="2" t="s">
        <v>28</v>
      </c>
      <c r="G124" s="5" t="str">
        <f>INDEX(base_fish!E:E,MATCH(use_fish!B124,base_fish!A:A,0))&amp;_xlfn.IFNA("+"&amp;INDEX(activity!H:H,MATCH(use_fish!C124,activity!A:A,0)),"")</f>
        <v>大海星</v>
      </c>
      <c r="H124" s="2">
        <v>0</v>
      </c>
      <c r="I124">
        <v>1</v>
      </c>
      <c r="J124">
        <v>0</v>
      </c>
      <c r="K124">
        <v>200</v>
      </c>
      <c r="L124">
        <v>4</v>
      </c>
    </row>
    <row r="125" spans="1:12" x14ac:dyDescent="0.2">
      <c r="A125" s="3">
        <v>124</v>
      </c>
      <c r="B125" s="3">
        <v>23</v>
      </c>
      <c r="D125" s="2">
        <v>50</v>
      </c>
      <c r="E125" s="2">
        <f t="shared" si="11"/>
        <v>0.02</v>
      </c>
      <c r="F125" s="2" t="s">
        <v>28</v>
      </c>
      <c r="G125" s="5" t="str">
        <f>INDEX(base_fish!E:E,MATCH(use_fish!B125,base_fish!A:A,0))&amp;_xlfn.IFNA("+"&amp;INDEX(activity!H:H,MATCH(use_fish!C125,activity!A:A,0)),"")</f>
        <v>中海星</v>
      </c>
      <c r="H125" s="2">
        <v>0</v>
      </c>
      <c r="I125">
        <v>1</v>
      </c>
      <c r="J125">
        <v>0</v>
      </c>
      <c r="K125">
        <v>150</v>
      </c>
      <c r="L125">
        <v>3</v>
      </c>
    </row>
    <row r="126" spans="1:12" x14ac:dyDescent="0.2">
      <c r="A126" s="3">
        <v>125</v>
      </c>
      <c r="B126" s="3">
        <v>24</v>
      </c>
      <c r="D126" s="2">
        <v>50</v>
      </c>
      <c r="E126" s="2">
        <f t="shared" si="11"/>
        <v>0.02</v>
      </c>
      <c r="F126" s="2" t="s">
        <v>28</v>
      </c>
      <c r="G126" s="5" t="str">
        <f>INDEX(base_fish!E:E,MATCH(use_fish!B126,base_fish!A:A,0))&amp;_xlfn.IFNA("+"&amp;INDEX(activity!H:H,MATCH(use_fish!C126,activity!A:A,0)),"")</f>
        <v>小海星</v>
      </c>
      <c r="H126" s="2">
        <v>0</v>
      </c>
      <c r="I126">
        <v>1</v>
      </c>
      <c r="J126">
        <v>0</v>
      </c>
      <c r="K126">
        <v>100</v>
      </c>
      <c r="L126">
        <v>2</v>
      </c>
    </row>
    <row r="127" spans="1:12" x14ac:dyDescent="0.2">
      <c r="A127" s="3">
        <v>126</v>
      </c>
      <c r="B127" s="3">
        <v>25</v>
      </c>
      <c r="D127" s="2">
        <v>50</v>
      </c>
      <c r="E127" s="2">
        <f t="shared" si="11"/>
        <v>0.02</v>
      </c>
      <c r="F127" s="2" t="s">
        <v>28</v>
      </c>
      <c r="G127" s="5" t="str">
        <f>INDEX(base_fish!E:E,MATCH(use_fish!B127,base_fish!A:A,0))&amp;_xlfn.IFNA("+"&amp;INDEX(activity!H:H,MATCH(use_fish!C127,activity!A:A,0)),"")</f>
        <v>金枪鱼</v>
      </c>
      <c r="H127" s="2">
        <v>100</v>
      </c>
      <c r="I127">
        <v>3</v>
      </c>
      <c r="J127">
        <v>0</v>
      </c>
      <c r="K127">
        <v>100</v>
      </c>
      <c r="L127">
        <v>1</v>
      </c>
    </row>
    <row r="128" spans="1:12" x14ac:dyDescent="0.2">
      <c r="A128" s="3">
        <v>127</v>
      </c>
      <c r="B128" s="3">
        <v>26</v>
      </c>
      <c r="D128" s="2">
        <v>100</v>
      </c>
      <c r="E128" s="2">
        <f t="shared" si="11"/>
        <v>0.01</v>
      </c>
      <c r="F128" s="2" t="s">
        <v>28</v>
      </c>
      <c r="G128" s="5" t="str">
        <f>INDEX(base_fish!E:E,MATCH(use_fish!B128,base_fish!A:A,0))&amp;_xlfn.IFNA("+"&amp;INDEX(activity!H:H,MATCH(use_fish!C128,activity!A:A,0)),"")</f>
        <v>乌贼</v>
      </c>
      <c r="H128" s="2">
        <v>1</v>
      </c>
      <c r="I128">
        <v>1</v>
      </c>
      <c r="J128">
        <v>0</v>
      </c>
      <c r="K128">
        <v>1</v>
      </c>
      <c r="L128">
        <v>1</v>
      </c>
    </row>
    <row r="129" spans="1:12" x14ac:dyDescent="0.2">
      <c r="A129" s="3">
        <v>128</v>
      </c>
      <c r="B129" s="3">
        <v>27</v>
      </c>
      <c r="C129" s="3">
        <v>9</v>
      </c>
      <c r="D129" s="2">
        <v>50</v>
      </c>
      <c r="E129" s="2">
        <f t="shared" si="11"/>
        <v>0.02</v>
      </c>
      <c r="F129" s="2" t="s">
        <v>335</v>
      </c>
      <c r="G129" s="5" t="s">
        <v>356</v>
      </c>
      <c r="H129" s="2">
        <v>0</v>
      </c>
      <c r="I129">
        <v>1</v>
      </c>
      <c r="J129">
        <v>0</v>
      </c>
      <c r="K129">
        <v>0</v>
      </c>
      <c r="L129">
        <v>0</v>
      </c>
    </row>
    <row r="130" spans="1:12" x14ac:dyDescent="0.2">
      <c r="A130" s="5">
        <v>129</v>
      </c>
      <c r="B130" s="3">
        <v>8</v>
      </c>
      <c r="C130" s="3">
        <v>18</v>
      </c>
      <c r="D130" s="2">
        <v>40</v>
      </c>
      <c r="E130" s="2">
        <f t="shared" ref="E130:E137" si="12">1/D130</f>
        <v>2.5000000000000001E-2</v>
      </c>
      <c r="F130" s="2" t="s">
        <v>349</v>
      </c>
      <c r="G130" s="3" t="s">
        <v>358</v>
      </c>
      <c r="H130" s="2">
        <v>140</v>
      </c>
      <c r="I130">
        <v>1</v>
      </c>
      <c r="J130">
        <v>0</v>
      </c>
      <c r="K130">
        <v>40</v>
      </c>
      <c r="L130">
        <v>1</v>
      </c>
    </row>
    <row r="131" spans="1:12" x14ac:dyDescent="0.2">
      <c r="A131" s="3">
        <v>130</v>
      </c>
      <c r="B131" s="3">
        <v>9</v>
      </c>
      <c r="C131" s="3">
        <v>19</v>
      </c>
      <c r="D131" s="2">
        <v>50</v>
      </c>
      <c r="E131" s="2">
        <f t="shared" si="12"/>
        <v>0.02</v>
      </c>
      <c r="F131" s="2" t="s">
        <v>28</v>
      </c>
      <c r="G131" s="3" t="s">
        <v>357</v>
      </c>
      <c r="H131" s="2">
        <v>150</v>
      </c>
      <c r="I131">
        <v>1</v>
      </c>
      <c r="J131">
        <v>0</v>
      </c>
      <c r="K131">
        <v>50</v>
      </c>
      <c r="L131">
        <v>1</v>
      </c>
    </row>
    <row r="132" spans="1:12" x14ac:dyDescent="0.2">
      <c r="A132" s="3">
        <v>131</v>
      </c>
      <c r="B132" s="3">
        <v>1</v>
      </c>
      <c r="C132" s="3">
        <v>8</v>
      </c>
      <c r="D132" s="2">
        <v>1</v>
      </c>
      <c r="E132" s="2">
        <f t="shared" si="12"/>
        <v>1</v>
      </c>
      <c r="F132" s="2" t="s">
        <v>28</v>
      </c>
      <c r="G132" s="3" t="s">
        <v>359</v>
      </c>
      <c r="H132" s="2">
        <v>64</v>
      </c>
      <c r="I132">
        <v>1</v>
      </c>
      <c r="J132">
        <v>0</v>
      </c>
      <c r="K132">
        <v>1</v>
      </c>
      <c r="L132">
        <v>1</v>
      </c>
    </row>
    <row r="133" spans="1:12" x14ac:dyDescent="0.2">
      <c r="A133" s="3">
        <v>132</v>
      </c>
      <c r="B133" s="3">
        <v>2</v>
      </c>
      <c r="C133" s="3">
        <v>8</v>
      </c>
      <c r="D133" s="2">
        <v>2</v>
      </c>
      <c r="E133" s="2">
        <f t="shared" si="12"/>
        <v>0.5</v>
      </c>
      <c r="F133" s="2" t="s">
        <v>28</v>
      </c>
      <c r="G133" s="3" t="s">
        <v>361</v>
      </c>
      <c r="H133" s="2">
        <v>65</v>
      </c>
      <c r="I133">
        <v>1</v>
      </c>
      <c r="J133">
        <v>0</v>
      </c>
      <c r="K133">
        <v>1</v>
      </c>
      <c r="L133">
        <v>1</v>
      </c>
    </row>
    <row r="134" spans="1:12" x14ac:dyDescent="0.2">
      <c r="A134" s="3">
        <v>133</v>
      </c>
      <c r="B134" s="3">
        <v>22</v>
      </c>
      <c r="C134" s="3">
        <v>18</v>
      </c>
      <c r="D134" s="2">
        <v>50</v>
      </c>
      <c r="E134" s="2">
        <f t="shared" si="12"/>
        <v>0.02</v>
      </c>
      <c r="F134" s="2" t="s">
        <v>28</v>
      </c>
      <c r="G134" s="3" t="s">
        <v>362</v>
      </c>
      <c r="H134" s="2">
        <v>0</v>
      </c>
      <c r="I134">
        <v>1</v>
      </c>
      <c r="J134">
        <v>0</v>
      </c>
      <c r="K134">
        <v>200</v>
      </c>
      <c r="L134">
        <v>4</v>
      </c>
    </row>
    <row r="135" spans="1:12" x14ac:dyDescent="0.2">
      <c r="A135" s="3">
        <v>134</v>
      </c>
      <c r="B135" s="3">
        <v>22</v>
      </c>
      <c r="C135" s="3">
        <v>33</v>
      </c>
      <c r="D135" s="2">
        <v>50</v>
      </c>
      <c r="E135" s="2">
        <f t="shared" si="12"/>
        <v>0.02</v>
      </c>
      <c r="F135" s="2" t="s">
        <v>28</v>
      </c>
      <c r="G135" s="3" t="s">
        <v>363</v>
      </c>
      <c r="H135" s="2">
        <v>0</v>
      </c>
      <c r="I135">
        <v>1</v>
      </c>
      <c r="J135">
        <v>0</v>
      </c>
      <c r="K135">
        <v>200</v>
      </c>
      <c r="L135">
        <v>4</v>
      </c>
    </row>
    <row r="136" spans="1:12" x14ac:dyDescent="0.2">
      <c r="A136" s="3">
        <v>135</v>
      </c>
      <c r="B136" s="3">
        <v>8</v>
      </c>
      <c r="C136" s="3">
        <v>8</v>
      </c>
      <c r="D136" s="2">
        <f>LOOKUP(use_fish!B136,base_fish!A:A,base_fish!C:C)+_xlfn.IFNA(INDEX(activity!G:G,MATCH(use_fish!C136,activity!A:A,0)),0)</f>
        <v>103</v>
      </c>
      <c r="E136" s="2">
        <f t="shared" si="12"/>
        <v>9.7087378640776691E-3</v>
      </c>
      <c r="F136" s="2" t="s">
        <v>28</v>
      </c>
      <c r="G136" s="5" t="str">
        <f>INDEX(base_fish!E:E,MATCH(use_fish!B136,base_fish!A:A,0))&amp;_xlfn.IFNA("+"&amp;INDEX(activity!H:H,MATCH(use_fish!C136,activity!A:A,0)),"")</f>
        <v>海龟+炸弹</v>
      </c>
      <c r="H136" s="2">
        <f>LOOKUP(use_fish!B136,base_fish!A:A,base_fish!F:F)+_xlfn.IFNA(INDEX(activity!G:G,MATCH(use_fish!C136,activity!A:A,0)),0)</f>
        <v>103</v>
      </c>
      <c r="I136">
        <v>1</v>
      </c>
      <c r="J136">
        <f>LOOKUP(use_fish!B136,base_fish!A:A,base_fish!G:G)</f>
        <v>0</v>
      </c>
      <c r="K136">
        <f>LOOKUP(use_fish!B136,base_fish!A:A,base_fish!F:F)</f>
        <v>40</v>
      </c>
      <c r="L136">
        <v>1</v>
      </c>
    </row>
    <row r="137" spans="1:12" x14ac:dyDescent="0.2">
      <c r="A137" s="3">
        <v>136</v>
      </c>
      <c r="B137" s="3">
        <v>14</v>
      </c>
      <c r="C137" s="3">
        <v>30</v>
      </c>
      <c r="D137" s="2">
        <f>LOOKUP(use_fish!B137,base_fish!A:A,base_fish!C:C)+_xlfn.IFNA(INDEX(activity!G:G,MATCH(use_fish!C137,activity!A:A,0)),0)</f>
        <v>140</v>
      </c>
      <c r="E137" s="2">
        <f t="shared" si="12"/>
        <v>7.1428571428571426E-3</v>
      </c>
      <c r="F137" s="2" t="s">
        <v>28</v>
      </c>
      <c r="G137" s="5" t="str">
        <f>INDEX(base_fish!E:E,MATCH(use_fish!B137,base_fish!A:A,0))&amp;_xlfn.IFNA("+"&amp;INDEX(activity!H:H,MATCH(use_fish!C137,activity!A:A,0)),"")</f>
        <v>黄金海龟+次级闪电</v>
      </c>
      <c r="H137" s="2">
        <f>LOOKUP(use_fish!B137,base_fish!A:A,base_fish!F:F)+_xlfn.IFNA(INDEX(activity!G:G,MATCH(use_fish!C137,activity!A:A,0)),0)</f>
        <v>140</v>
      </c>
      <c r="I137">
        <v>1</v>
      </c>
      <c r="J137">
        <f>LOOKUP(use_fish!B137,base_fish!A:A,base_fish!G:G)</f>
        <v>0</v>
      </c>
      <c r="K137">
        <f>LOOKUP(use_fish!B137,base_fish!A:A,base_fish!F:F)</f>
        <v>80</v>
      </c>
      <c r="L137">
        <v>1</v>
      </c>
    </row>
    <row r="249" spans="3:3" x14ac:dyDescent="0.2">
      <c r="C249">
        <v>700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6"/>
  <sheetViews>
    <sheetView topLeftCell="A16" workbookViewId="0">
      <selection activeCell="H22" sqref="A22:H26"/>
    </sheetView>
  </sheetViews>
  <sheetFormatPr defaultColWidth="8.625" defaultRowHeight="14.25" x14ac:dyDescent="0.2"/>
  <cols>
    <col min="2" max="2" width="13" customWidth="1"/>
    <col min="3" max="3" width="11.375" customWidth="1"/>
    <col min="4" max="6" width="16.125" customWidth="1"/>
    <col min="7" max="8" width="15.125" customWidth="1"/>
    <col min="12" max="12" width="12.125" customWidth="1"/>
  </cols>
  <sheetData>
    <row r="1" spans="1:12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341</v>
      </c>
      <c r="F1" s="1" t="s">
        <v>377</v>
      </c>
      <c r="G1" s="1" t="s">
        <v>39</v>
      </c>
      <c r="H1" s="1" t="s">
        <v>54</v>
      </c>
      <c r="I1" s="1" t="s">
        <v>2</v>
      </c>
      <c r="J1" s="1" t="s">
        <v>2</v>
      </c>
      <c r="L1" s="1" t="s">
        <v>183</v>
      </c>
    </row>
    <row r="2" spans="1:12" x14ac:dyDescent="0.2">
      <c r="A2">
        <v>1</v>
      </c>
      <c r="B2">
        <v>1</v>
      </c>
      <c r="C2" t="s">
        <v>211</v>
      </c>
      <c r="D2" s="2">
        <v>0</v>
      </c>
      <c r="E2" s="2">
        <v>0</v>
      </c>
      <c r="F2" s="2"/>
      <c r="G2">
        <v>63</v>
      </c>
      <c r="H2" t="str">
        <f t="shared" ref="H2:H33" si="0">LOOKUP(B2,I:I,J:J)</f>
        <v>免费子弹</v>
      </c>
      <c r="I2">
        <v>1</v>
      </c>
      <c r="J2" t="s">
        <v>55</v>
      </c>
      <c r="L2" t="s">
        <v>248</v>
      </c>
    </row>
    <row r="3" spans="1:12" x14ac:dyDescent="0.2">
      <c r="A3">
        <v>2</v>
      </c>
      <c r="B3">
        <v>2</v>
      </c>
      <c r="C3" t="s">
        <v>221</v>
      </c>
      <c r="D3" s="2">
        <v>0</v>
      </c>
      <c r="E3" s="2">
        <v>0</v>
      </c>
      <c r="F3" s="2"/>
      <c r="G3">
        <v>63</v>
      </c>
      <c r="H3" t="str">
        <f t="shared" si="0"/>
        <v>威力提升</v>
      </c>
      <c r="I3">
        <v>2</v>
      </c>
      <c r="J3" t="s">
        <v>56</v>
      </c>
    </row>
    <row r="4" spans="1:12" x14ac:dyDescent="0.2">
      <c r="A4">
        <v>3</v>
      </c>
      <c r="B4">
        <v>3</v>
      </c>
      <c r="C4" t="s">
        <v>221</v>
      </c>
      <c r="D4" s="2">
        <v>0</v>
      </c>
      <c r="E4" s="2">
        <v>0</v>
      </c>
      <c r="F4" s="2"/>
      <c r="G4">
        <v>63</v>
      </c>
      <c r="H4" t="str">
        <f t="shared" si="0"/>
        <v>暴击时刻</v>
      </c>
      <c r="I4">
        <v>3</v>
      </c>
      <c r="J4" t="s">
        <v>57</v>
      </c>
    </row>
    <row r="5" spans="1:12" x14ac:dyDescent="0.2">
      <c r="A5">
        <v>4</v>
      </c>
      <c r="B5">
        <v>4</v>
      </c>
      <c r="C5" t="s">
        <v>171</v>
      </c>
      <c r="D5" s="4">
        <v>1</v>
      </c>
      <c r="E5" s="4">
        <v>0</v>
      </c>
      <c r="F5" s="4"/>
      <c r="G5">
        <v>30</v>
      </c>
      <c r="H5" t="str">
        <f t="shared" si="0"/>
        <v>炸弹</v>
      </c>
      <c r="I5">
        <v>4</v>
      </c>
      <c r="J5" t="s">
        <v>58</v>
      </c>
    </row>
    <row r="6" spans="1:12" x14ac:dyDescent="0.2">
      <c r="A6">
        <v>5</v>
      </c>
      <c r="B6">
        <v>5</v>
      </c>
      <c r="C6" t="s">
        <v>172</v>
      </c>
      <c r="D6" s="4">
        <v>1</v>
      </c>
      <c r="E6" s="4">
        <v>0</v>
      </c>
      <c r="F6" s="4"/>
      <c r="G6">
        <v>50</v>
      </c>
      <c r="H6" t="str">
        <f t="shared" si="0"/>
        <v>闪电</v>
      </c>
      <c r="I6">
        <v>5</v>
      </c>
      <c r="J6" t="s">
        <v>59</v>
      </c>
    </row>
    <row r="7" spans="1:12" x14ac:dyDescent="0.2">
      <c r="A7">
        <v>6</v>
      </c>
      <c r="B7">
        <v>4</v>
      </c>
      <c r="C7" t="s">
        <v>173</v>
      </c>
      <c r="D7" s="4">
        <v>0</v>
      </c>
      <c r="E7" s="4">
        <v>0</v>
      </c>
      <c r="F7" s="4"/>
      <c r="G7">
        <v>20</v>
      </c>
      <c r="H7" t="str">
        <f t="shared" si="0"/>
        <v>炸弹</v>
      </c>
      <c r="I7">
        <v>6</v>
      </c>
      <c r="J7" t="s">
        <v>60</v>
      </c>
    </row>
    <row r="8" spans="1:12" x14ac:dyDescent="0.2">
      <c r="A8">
        <v>7</v>
      </c>
      <c r="B8">
        <v>1</v>
      </c>
      <c r="C8" t="s">
        <v>170</v>
      </c>
      <c r="D8" s="4">
        <v>0</v>
      </c>
      <c r="E8" s="4">
        <v>0</v>
      </c>
      <c r="F8" s="4"/>
      <c r="G8">
        <v>50</v>
      </c>
      <c r="H8" t="str">
        <f t="shared" si="0"/>
        <v>免费子弹</v>
      </c>
      <c r="I8">
        <v>7</v>
      </c>
      <c r="J8" t="s">
        <v>61</v>
      </c>
    </row>
    <row r="9" spans="1:12" x14ac:dyDescent="0.2">
      <c r="A9">
        <v>8</v>
      </c>
      <c r="B9">
        <v>4</v>
      </c>
      <c r="C9" t="s">
        <v>212</v>
      </c>
      <c r="D9" s="4">
        <v>0</v>
      </c>
      <c r="E9" s="4">
        <v>0</v>
      </c>
      <c r="F9" s="4"/>
      <c r="G9">
        <v>63</v>
      </c>
      <c r="H9" t="str">
        <f t="shared" si="0"/>
        <v>炸弹</v>
      </c>
      <c r="I9">
        <v>8</v>
      </c>
      <c r="J9" t="s">
        <v>62</v>
      </c>
    </row>
    <row r="10" spans="1:12" x14ac:dyDescent="0.2">
      <c r="A10">
        <v>9</v>
      </c>
      <c r="B10">
        <v>5</v>
      </c>
      <c r="C10" t="s">
        <v>213</v>
      </c>
      <c r="D10" s="4">
        <v>0</v>
      </c>
      <c r="E10" s="4">
        <v>0</v>
      </c>
      <c r="F10" s="4"/>
      <c r="G10">
        <v>63</v>
      </c>
      <c r="H10" t="str">
        <f t="shared" si="0"/>
        <v>闪电</v>
      </c>
      <c r="I10">
        <v>9</v>
      </c>
      <c r="J10" t="s">
        <v>275</v>
      </c>
    </row>
    <row r="11" spans="1:12" x14ac:dyDescent="0.2">
      <c r="A11">
        <v>10</v>
      </c>
      <c r="B11">
        <v>5</v>
      </c>
      <c r="C11" t="s">
        <v>174</v>
      </c>
      <c r="D11" s="4">
        <v>0</v>
      </c>
      <c r="E11" s="4">
        <v>0</v>
      </c>
      <c r="F11" s="4"/>
      <c r="G11">
        <v>50</v>
      </c>
      <c r="H11" t="str">
        <f t="shared" si="0"/>
        <v>闪电</v>
      </c>
      <c r="I11">
        <v>10</v>
      </c>
      <c r="J11" t="s">
        <v>247</v>
      </c>
    </row>
    <row r="12" spans="1:12" x14ac:dyDescent="0.2">
      <c r="A12">
        <v>11</v>
      </c>
      <c r="B12">
        <v>7</v>
      </c>
      <c r="C12" t="s">
        <v>53</v>
      </c>
      <c r="D12" s="4">
        <v>1</v>
      </c>
      <c r="E12" s="4">
        <v>1</v>
      </c>
      <c r="F12" s="4"/>
      <c r="G12">
        <v>0</v>
      </c>
      <c r="H12" t="str">
        <f t="shared" si="0"/>
        <v>锁定卡</v>
      </c>
      <c r="I12">
        <v>11</v>
      </c>
      <c r="J12" t="s">
        <v>282</v>
      </c>
    </row>
    <row r="13" spans="1:12" x14ac:dyDescent="0.2">
      <c r="A13">
        <v>12</v>
      </c>
      <c r="B13">
        <v>7</v>
      </c>
      <c r="C13" t="s">
        <v>63</v>
      </c>
      <c r="D13" s="4">
        <v>0</v>
      </c>
      <c r="E13" s="4">
        <v>1</v>
      </c>
      <c r="F13" s="4"/>
      <c r="G13">
        <v>0</v>
      </c>
      <c r="H13" t="str">
        <f t="shared" si="0"/>
        <v>锁定卡</v>
      </c>
      <c r="I13">
        <v>12</v>
      </c>
      <c r="J13" t="s">
        <v>353</v>
      </c>
    </row>
    <row r="14" spans="1:12" x14ac:dyDescent="0.2">
      <c r="A14">
        <v>13</v>
      </c>
      <c r="B14">
        <v>8</v>
      </c>
      <c r="C14" t="s">
        <v>49</v>
      </c>
      <c r="D14" s="4">
        <v>1</v>
      </c>
      <c r="E14" s="4">
        <v>1</v>
      </c>
      <c r="F14" s="4"/>
      <c r="G14">
        <v>0</v>
      </c>
      <c r="H14" t="str">
        <f t="shared" si="0"/>
        <v>冰冻卡</v>
      </c>
      <c r="I14">
        <v>13</v>
      </c>
      <c r="J14" t="s">
        <v>337</v>
      </c>
    </row>
    <row r="15" spans="1:12" x14ac:dyDescent="0.2">
      <c r="A15">
        <v>14</v>
      </c>
      <c r="B15">
        <v>8</v>
      </c>
      <c r="C15" t="s">
        <v>63</v>
      </c>
      <c r="D15" s="4">
        <v>0</v>
      </c>
      <c r="E15" s="4">
        <v>1</v>
      </c>
      <c r="F15" s="4"/>
      <c r="G15">
        <v>0</v>
      </c>
      <c r="H15" t="str">
        <f t="shared" si="0"/>
        <v>冰冻卡</v>
      </c>
      <c r="I15">
        <v>14</v>
      </c>
      <c r="J15" t="s">
        <v>350</v>
      </c>
    </row>
    <row r="16" spans="1:12" x14ac:dyDescent="0.2">
      <c r="A16">
        <v>15</v>
      </c>
      <c r="B16">
        <v>9</v>
      </c>
      <c r="C16" t="s">
        <v>222</v>
      </c>
      <c r="D16" s="4">
        <v>1</v>
      </c>
      <c r="E16" s="4">
        <v>1</v>
      </c>
      <c r="F16" s="4"/>
      <c r="G16">
        <v>1</v>
      </c>
      <c r="H16" t="str">
        <f t="shared" si="0"/>
        <v>临时活动</v>
      </c>
      <c r="I16">
        <v>15</v>
      </c>
      <c r="J16" t="s">
        <v>351</v>
      </c>
    </row>
    <row r="17" spans="1:10" x14ac:dyDescent="0.2">
      <c r="A17">
        <v>16</v>
      </c>
      <c r="B17">
        <v>9</v>
      </c>
      <c r="C17" t="s">
        <v>222</v>
      </c>
      <c r="D17" s="4">
        <v>0</v>
      </c>
      <c r="E17" s="4">
        <v>1</v>
      </c>
      <c r="F17" s="4"/>
      <c r="G17">
        <v>1</v>
      </c>
      <c r="H17" t="str">
        <f t="shared" si="0"/>
        <v>临时活动</v>
      </c>
      <c r="I17">
        <v>16</v>
      </c>
      <c r="J17" t="s">
        <v>352</v>
      </c>
    </row>
    <row r="18" spans="1:10" x14ac:dyDescent="0.2">
      <c r="A18">
        <v>17</v>
      </c>
      <c r="B18">
        <v>10</v>
      </c>
      <c r="C18" s="8" t="s">
        <v>293</v>
      </c>
      <c r="D18" s="4">
        <v>0</v>
      </c>
      <c r="E18" s="4">
        <v>0</v>
      </c>
      <c r="F18" s="4"/>
      <c r="G18">
        <v>80</v>
      </c>
      <c r="H18" t="str">
        <f t="shared" si="0"/>
        <v>贝壳</v>
      </c>
    </row>
    <row r="19" spans="1:10" x14ac:dyDescent="0.2">
      <c r="A19">
        <v>18</v>
      </c>
      <c r="B19">
        <v>4</v>
      </c>
      <c r="C19" t="s">
        <v>326</v>
      </c>
      <c r="D19" s="4">
        <v>0</v>
      </c>
      <c r="E19" s="4">
        <v>0</v>
      </c>
      <c r="F19" s="4"/>
      <c r="G19">
        <v>100</v>
      </c>
      <c r="H19" t="str">
        <f t="shared" si="0"/>
        <v>炸弹</v>
      </c>
    </row>
    <row r="20" spans="1:10" x14ac:dyDescent="0.2">
      <c r="A20">
        <v>19</v>
      </c>
      <c r="B20">
        <v>5</v>
      </c>
      <c r="C20" t="s">
        <v>326</v>
      </c>
      <c r="D20" s="4">
        <v>0</v>
      </c>
      <c r="E20" s="4">
        <v>0</v>
      </c>
      <c r="F20" s="4"/>
      <c r="G20">
        <v>100</v>
      </c>
      <c r="H20" t="str">
        <f t="shared" si="0"/>
        <v>闪电</v>
      </c>
    </row>
    <row r="21" spans="1:10" x14ac:dyDescent="0.2">
      <c r="A21">
        <v>20</v>
      </c>
      <c r="B21">
        <v>13</v>
      </c>
      <c r="C21" t="s">
        <v>371</v>
      </c>
      <c r="D21" s="4">
        <v>0</v>
      </c>
      <c r="E21" s="4">
        <v>0</v>
      </c>
      <c r="F21" s="4"/>
      <c r="G21">
        <v>300</v>
      </c>
      <c r="H21" t="str">
        <f t="shared" si="0"/>
        <v>快速射击</v>
      </c>
    </row>
    <row r="22" spans="1:10" x14ac:dyDescent="0.2">
      <c r="A22">
        <v>21</v>
      </c>
      <c r="B22">
        <v>12</v>
      </c>
      <c r="C22" t="s">
        <v>355</v>
      </c>
      <c r="D22" s="4">
        <v>0</v>
      </c>
      <c r="E22" s="4">
        <v>1</v>
      </c>
      <c r="F22" s="4">
        <v>1</v>
      </c>
      <c r="G22">
        <v>3000</v>
      </c>
      <c r="H22" t="str">
        <f t="shared" si="0"/>
        <v>顶级全屏炸弹</v>
      </c>
    </row>
    <row r="23" spans="1:10" x14ac:dyDescent="0.2">
      <c r="A23">
        <v>22</v>
      </c>
      <c r="B23">
        <v>1</v>
      </c>
      <c r="C23" t="s">
        <v>372</v>
      </c>
      <c r="D23" s="4">
        <v>0</v>
      </c>
      <c r="E23" s="4">
        <v>0</v>
      </c>
      <c r="F23" s="4"/>
      <c r="G23">
        <v>150</v>
      </c>
      <c r="H23" t="str">
        <f t="shared" si="0"/>
        <v>免费子弹</v>
      </c>
    </row>
    <row r="24" spans="1:10" x14ac:dyDescent="0.2">
      <c r="A24">
        <v>23</v>
      </c>
      <c r="B24">
        <v>2</v>
      </c>
      <c r="C24" t="s">
        <v>372</v>
      </c>
      <c r="D24" s="4">
        <v>0</v>
      </c>
      <c r="E24" s="4">
        <v>0</v>
      </c>
      <c r="F24" s="4"/>
      <c r="G24">
        <v>150</v>
      </c>
      <c r="H24" t="str">
        <f t="shared" si="0"/>
        <v>威力提升</v>
      </c>
    </row>
    <row r="25" spans="1:10" x14ac:dyDescent="0.2">
      <c r="A25">
        <v>24</v>
      </c>
      <c r="B25">
        <v>3</v>
      </c>
      <c r="C25" t="s">
        <v>372</v>
      </c>
      <c r="D25" s="4">
        <v>0</v>
      </c>
      <c r="E25" s="4">
        <v>0</v>
      </c>
      <c r="F25" s="4"/>
      <c r="G25">
        <v>150</v>
      </c>
      <c r="H25" t="str">
        <f t="shared" si="0"/>
        <v>暴击时刻</v>
      </c>
    </row>
    <row r="26" spans="1:10" x14ac:dyDescent="0.2">
      <c r="A26">
        <v>25</v>
      </c>
      <c r="B26">
        <v>16</v>
      </c>
      <c r="C26" t="s">
        <v>355</v>
      </c>
      <c r="D26" s="4">
        <v>0</v>
      </c>
      <c r="E26" s="4">
        <v>1</v>
      </c>
      <c r="F26" s="4">
        <v>1</v>
      </c>
      <c r="G26">
        <v>3000</v>
      </c>
      <c r="H26" t="str">
        <f t="shared" si="0"/>
        <v>顶级闪电</v>
      </c>
    </row>
    <row r="27" spans="1:10" x14ac:dyDescent="0.2">
      <c r="A27">
        <v>26</v>
      </c>
      <c r="B27">
        <v>1</v>
      </c>
      <c r="C27" t="s">
        <v>342</v>
      </c>
      <c r="D27" s="4">
        <v>0</v>
      </c>
      <c r="E27" s="4">
        <v>0</v>
      </c>
      <c r="F27" s="4"/>
      <c r="G27">
        <v>60</v>
      </c>
      <c r="H27" t="str">
        <f t="shared" si="0"/>
        <v>免费子弹</v>
      </c>
    </row>
    <row r="28" spans="1:10" x14ac:dyDescent="0.2">
      <c r="A28">
        <v>27</v>
      </c>
      <c r="B28">
        <v>2</v>
      </c>
      <c r="C28" t="s">
        <v>343</v>
      </c>
      <c r="D28" s="4">
        <v>0</v>
      </c>
      <c r="E28" s="4">
        <v>0</v>
      </c>
      <c r="F28" s="4"/>
      <c r="G28">
        <v>60</v>
      </c>
      <c r="H28" t="str">
        <f t="shared" si="0"/>
        <v>威力提升</v>
      </c>
    </row>
    <row r="29" spans="1:10" x14ac:dyDescent="0.2">
      <c r="A29">
        <v>28</v>
      </c>
      <c r="B29">
        <v>3</v>
      </c>
      <c r="C29" t="s">
        <v>342</v>
      </c>
      <c r="D29" s="4">
        <v>0</v>
      </c>
      <c r="E29" s="4">
        <v>0</v>
      </c>
      <c r="F29" s="4"/>
      <c r="G29">
        <v>60</v>
      </c>
      <c r="H29" t="str">
        <f t="shared" si="0"/>
        <v>暴击时刻</v>
      </c>
    </row>
    <row r="30" spans="1:10" x14ac:dyDescent="0.2">
      <c r="A30">
        <v>29</v>
      </c>
      <c r="B30">
        <v>14</v>
      </c>
      <c r="C30" t="s">
        <v>373</v>
      </c>
      <c r="D30" s="4">
        <v>0</v>
      </c>
      <c r="E30" s="4">
        <v>1</v>
      </c>
      <c r="F30" s="4">
        <v>1</v>
      </c>
      <c r="G30">
        <v>60</v>
      </c>
      <c r="H30" t="str">
        <f t="shared" si="0"/>
        <v>次级全屏炸弹</v>
      </c>
    </row>
    <row r="31" spans="1:10" x14ac:dyDescent="0.2">
      <c r="A31">
        <v>30</v>
      </c>
      <c r="B31">
        <v>15</v>
      </c>
      <c r="C31" t="s">
        <v>374</v>
      </c>
      <c r="D31" s="4">
        <v>0</v>
      </c>
      <c r="E31" s="4">
        <v>1</v>
      </c>
      <c r="F31" s="4">
        <v>1</v>
      </c>
      <c r="G31">
        <v>60</v>
      </c>
      <c r="H31" t="str">
        <f t="shared" si="0"/>
        <v>次级闪电</v>
      </c>
    </row>
    <row r="32" spans="1:10" x14ac:dyDescent="0.2">
      <c r="A32">
        <v>31</v>
      </c>
      <c r="B32">
        <v>7</v>
      </c>
      <c r="C32" t="s">
        <v>344</v>
      </c>
      <c r="D32" s="4">
        <v>0</v>
      </c>
      <c r="E32" s="4">
        <v>1</v>
      </c>
      <c r="F32" s="4"/>
      <c r="G32">
        <v>0</v>
      </c>
      <c r="H32" t="str">
        <f t="shared" si="0"/>
        <v>锁定卡</v>
      </c>
    </row>
    <row r="33" spans="1:8" x14ac:dyDescent="0.2">
      <c r="A33">
        <v>32</v>
      </c>
      <c r="B33">
        <v>13</v>
      </c>
      <c r="C33" t="s">
        <v>348</v>
      </c>
      <c r="D33" s="4">
        <v>0</v>
      </c>
      <c r="E33" s="4">
        <v>0</v>
      </c>
      <c r="F33" s="4"/>
      <c r="G33">
        <v>60</v>
      </c>
      <c r="H33" t="str">
        <f t="shared" si="0"/>
        <v>快速射击</v>
      </c>
    </row>
    <row r="34" spans="1:8" x14ac:dyDescent="0.2">
      <c r="A34">
        <v>33</v>
      </c>
      <c r="B34">
        <v>5</v>
      </c>
      <c r="C34" t="s">
        <v>326</v>
      </c>
      <c r="D34" s="4">
        <v>0</v>
      </c>
      <c r="E34" s="4">
        <v>0</v>
      </c>
      <c r="F34" s="4"/>
      <c r="G34">
        <v>100</v>
      </c>
      <c r="H34" t="str">
        <f t="shared" ref="H34:H36" si="1">LOOKUP(B34,I:I,J:J)</f>
        <v>闪电</v>
      </c>
    </row>
    <row r="35" spans="1:8" x14ac:dyDescent="0.2">
      <c r="A35">
        <v>34</v>
      </c>
      <c r="B35">
        <v>12</v>
      </c>
      <c r="C35" t="s">
        <v>355</v>
      </c>
      <c r="D35" s="4">
        <v>0</v>
      </c>
      <c r="E35" s="4">
        <v>0</v>
      </c>
      <c r="F35" s="4">
        <v>1</v>
      </c>
      <c r="G35">
        <v>3000</v>
      </c>
      <c r="H35" t="str">
        <f t="shared" si="1"/>
        <v>顶级全屏炸弹</v>
      </c>
    </row>
    <row r="36" spans="1:8" x14ac:dyDescent="0.2">
      <c r="A36">
        <v>35</v>
      </c>
      <c r="B36">
        <v>16</v>
      </c>
      <c r="C36" t="s">
        <v>355</v>
      </c>
      <c r="D36" s="4">
        <v>0</v>
      </c>
      <c r="E36" s="4">
        <v>0</v>
      </c>
      <c r="F36" s="4">
        <v>1</v>
      </c>
      <c r="G36">
        <v>3000</v>
      </c>
      <c r="H36" t="str">
        <f t="shared" si="1"/>
        <v>顶级闪电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3"/>
  <sheetViews>
    <sheetView workbookViewId="0">
      <selection activeCell="A22" sqref="A22"/>
    </sheetView>
  </sheetViews>
  <sheetFormatPr defaultColWidth="8.875" defaultRowHeight="14.25" x14ac:dyDescent="0.2"/>
  <sheetData>
    <row r="1" spans="1:4" x14ac:dyDescent="0.2">
      <c r="A1" s="1" t="s">
        <v>24</v>
      </c>
      <c r="B1" s="1" t="s">
        <v>184</v>
      </c>
      <c r="C1" s="1" t="s">
        <v>185</v>
      </c>
      <c r="D1" s="1" t="s">
        <v>186</v>
      </c>
    </row>
    <row r="2" spans="1:4" x14ac:dyDescent="0.2">
      <c r="A2">
        <v>1</v>
      </c>
      <c r="B2" t="s">
        <v>188</v>
      </c>
      <c r="C2">
        <v>20</v>
      </c>
      <c r="D2">
        <v>0</v>
      </c>
    </row>
    <row r="3" spans="1:4" x14ac:dyDescent="0.2">
      <c r="A3">
        <v>2</v>
      </c>
      <c r="B3" t="s">
        <v>187</v>
      </c>
      <c r="C3">
        <v>10</v>
      </c>
      <c r="D3"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D33" sqref="A33:D33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289</v>
      </c>
      <c r="C1" s="1" t="s">
        <v>290</v>
      </c>
      <c r="D1" s="1" t="s">
        <v>291</v>
      </c>
    </row>
    <row r="2" spans="1:4" x14ac:dyDescent="0.2">
      <c r="A2">
        <v>1</v>
      </c>
      <c r="B2">
        <v>450</v>
      </c>
      <c r="C2">
        <v>1</v>
      </c>
      <c r="D2">
        <v>50000</v>
      </c>
    </row>
    <row r="3" spans="1:4" x14ac:dyDescent="0.2">
      <c r="A3">
        <v>2</v>
      </c>
      <c r="B3">
        <v>450</v>
      </c>
      <c r="C3">
        <v>1</v>
      </c>
      <c r="D3">
        <v>500000</v>
      </c>
    </row>
    <row r="4" spans="1:4" x14ac:dyDescent="0.2">
      <c r="A4">
        <v>3</v>
      </c>
      <c r="B4">
        <v>450</v>
      </c>
      <c r="C4">
        <v>1</v>
      </c>
      <c r="D4">
        <v>5000000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8"/>
  <sheetViews>
    <sheetView zoomScaleNormal="100" workbookViewId="0">
      <selection activeCell="G33" sqref="A32:G3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1" style="2" customWidth="1"/>
    <col min="4" max="5" width="8.625" style="2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22</v>
      </c>
      <c r="B1" s="1" t="s">
        <v>20</v>
      </c>
      <c r="C1" s="1" t="s">
        <v>276</v>
      </c>
      <c r="D1" s="1" t="s">
        <v>0</v>
      </c>
      <c r="E1" s="1" t="s">
        <v>7</v>
      </c>
      <c r="F1" s="1" t="s">
        <v>284</v>
      </c>
      <c r="G1" s="10" t="s">
        <v>285</v>
      </c>
    </row>
    <row r="2" spans="1:7" x14ac:dyDescent="0.2">
      <c r="A2" s="2">
        <v>1</v>
      </c>
      <c r="B2" s="2">
        <v>1</v>
      </c>
      <c r="C2" s="2">
        <v>1</v>
      </c>
      <c r="D2" s="2">
        <f>IF(C2,1/C2,0)</f>
        <v>1</v>
      </c>
      <c r="E2" s="5" t="s">
        <v>8</v>
      </c>
      <c r="F2" s="2">
        <f>C2</f>
        <v>1</v>
      </c>
      <c r="G2" s="2">
        <v>0</v>
      </c>
    </row>
    <row r="3" spans="1:7" x14ac:dyDescent="0.2">
      <c r="A3" s="2">
        <v>2</v>
      </c>
      <c r="B3" s="2">
        <v>1</v>
      </c>
      <c r="C3" s="2">
        <v>2</v>
      </c>
      <c r="D3" s="2">
        <f t="shared" ref="D3:D28" si="0">IF(C3,1/C3,0)</f>
        <v>0.5</v>
      </c>
      <c r="E3" s="5" t="s">
        <v>191</v>
      </c>
      <c r="F3" s="2">
        <f t="shared" ref="F3:F22" si="1">C3</f>
        <v>2</v>
      </c>
      <c r="G3" s="2">
        <v>0</v>
      </c>
    </row>
    <row r="4" spans="1:7" x14ac:dyDescent="0.2">
      <c r="A4" s="2">
        <v>3</v>
      </c>
      <c r="B4" s="2">
        <v>1</v>
      </c>
      <c r="C4" s="2">
        <v>5</v>
      </c>
      <c r="D4" s="2">
        <f t="shared" si="0"/>
        <v>0.2</v>
      </c>
      <c r="E4" s="5" t="s">
        <v>192</v>
      </c>
      <c r="F4" s="2">
        <f t="shared" si="1"/>
        <v>5</v>
      </c>
      <c r="G4" s="2">
        <v>0</v>
      </c>
    </row>
    <row r="5" spans="1:7" x14ac:dyDescent="0.2">
      <c r="A5" s="2">
        <v>4</v>
      </c>
      <c r="B5" s="2">
        <v>1</v>
      </c>
      <c r="C5" s="2">
        <v>8</v>
      </c>
      <c r="D5" s="2">
        <f t="shared" si="0"/>
        <v>0.125</v>
      </c>
      <c r="E5" s="5" t="s">
        <v>193</v>
      </c>
      <c r="F5" s="2">
        <f t="shared" si="1"/>
        <v>8</v>
      </c>
      <c r="G5" s="2">
        <v>0</v>
      </c>
    </row>
    <row r="6" spans="1:7" x14ac:dyDescent="0.2">
      <c r="A6" s="2">
        <v>5</v>
      </c>
      <c r="B6" s="2">
        <v>1</v>
      </c>
      <c r="C6" s="2">
        <v>15</v>
      </c>
      <c r="D6" s="2">
        <f t="shared" si="0"/>
        <v>6.6666666666666666E-2</v>
      </c>
      <c r="E6" s="5" t="s">
        <v>9</v>
      </c>
      <c r="F6" s="2">
        <f t="shared" si="1"/>
        <v>15</v>
      </c>
      <c r="G6" s="2">
        <v>0</v>
      </c>
    </row>
    <row r="7" spans="1:7" x14ac:dyDescent="0.2">
      <c r="A7" s="2">
        <v>6</v>
      </c>
      <c r="B7" s="2">
        <v>1</v>
      </c>
      <c r="C7" s="2">
        <v>20</v>
      </c>
      <c r="D7" s="2">
        <f t="shared" si="0"/>
        <v>0.05</v>
      </c>
      <c r="E7" s="5" t="s">
        <v>194</v>
      </c>
      <c r="F7" s="2">
        <f t="shared" si="1"/>
        <v>20</v>
      </c>
      <c r="G7" s="2">
        <v>0</v>
      </c>
    </row>
    <row r="8" spans="1:7" x14ac:dyDescent="0.2">
      <c r="A8" s="2">
        <v>7</v>
      </c>
      <c r="B8" s="2">
        <v>1</v>
      </c>
      <c r="C8" s="2">
        <v>30</v>
      </c>
      <c r="D8" s="2">
        <f t="shared" si="0"/>
        <v>3.3333333333333333E-2</v>
      </c>
      <c r="E8" s="5" t="s">
        <v>10</v>
      </c>
      <c r="F8" s="2">
        <f t="shared" si="1"/>
        <v>30</v>
      </c>
      <c r="G8" s="2">
        <v>0</v>
      </c>
    </row>
    <row r="9" spans="1:7" x14ac:dyDescent="0.2">
      <c r="A9" s="2">
        <v>8</v>
      </c>
      <c r="B9" s="2">
        <v>1</v>
      </c>
      <c r="C9" s="2">
        <v>40</v>
      </c>
      <c r="D9" s="2">
        <f t="shared" si="0"/>
        <v>2.5000000000000001E-2</v>
      </c>
      <c r="E9" s="5" t="s">
        <v>195</v>
      </c>
      <c r="F9" s="2">
        <f t="shared" si="1"/>
        <v>40</v>
      </c>
      <c r="G9" s="2">
        <v>0</v>
      </c>
    </row>
    <row r="10" spans="1:7" x14ac:dyDescent="0.2">
      <c r="A10" s="2">
        <v>9</v>
      </c>
      <c r="B10" s="2">
        <v>1</v>
      </c>
      <c r="C10" s="2">
        <v>50</v>
      </c>
      <c r="D10" s="2">
        <f t="shared" si="0"/>
        <v>0.02</v>
      </c>
      <c r="E10" s="5" t="s">
        <v>11</v>
      </c>
      <c r="F10" s="2">
        <f t="shared" si="1"/>
        <v>50</v>
      </c>
      <c r="G10" s="2">
        <v>0</v>
      </c>
    </row>
    <row r="11" spans="1:7" x14ac:dyDescent="0.2">
      <c r="A11" s="2">
        <v>10</v>
      </c>
      <c r="B11" s="2">
        <v>2</v>
      </c>
      <c r="C11" s="2">
        <v>60</v>
      </c>
      <c r="D11" s="2">
        <f t="shared" si="0"/>
        <v>1.6666666666666666E-2</v>
      </c>
      <c r="E11" s="5" t="s">
        <v>12</v>
      </c>
      <c r="F11" s="2">
        <f t="shared" si="1"/>
        <v>60</v>
      </c>
      <c r="G11" s="2">
        <v>0</v>
      </c>
    </row>
    <row r="12" spans="1:7" x14ac:dyDescent="0.2">
      <c r="A12" s="2">
        <v>11</v>
      </c>
      <c r="B12" s="2">
        <v>2</v>
      </c>
      <c r="C12" s="2">
        <v>70</v>
      </c>
      <c r="D12" s="2">
        <f t="shared" si="0"/>
        <v>1.4285714285714285E-2</v>
      </c>
      <c r="E12" s="5" t="s">
        <v>196</v>
      </c>
      <c r="F12" s="2">
        <f t="shared" si="1"/>
        <v>70</v>
      </c>
      <c r="G12" s="2">
        <v>0</v>
      </c>
    </row>
    <row r="13" spans="1:7" x14ac:dyDescent="0.2">
      <c r="A13" s="2">
        <v>12</v>
      </c>
      <c r="B13" s="2">
        <v>2</v>
      </c>
      <c r="C13" s="2">
        <v>100</v>
      </c>
      <c r="D13" s="2">
        <f t="shared" si="0"/>
        <v>0.01</v>
      </c>
      <c r="E13" s="5" t="s">
        <v>13</v>
      </c>
      <c r="F13" s="2">
        <f t="shared" si="1"/>
        <v>100</v>
      </c>
      <c r="G13" s="2">
        <v>0</v>
      </c>
    </row>
    <row r="14" spans="1:7" x14ac:dyDescent="0.2">
      <c r="A14" s="2">
        <v>13</v>
      </c>
      <c r="B14" s="2">
        <v>2</v>
      </c>
      <c r="C14" s="2">
        <v>150</v>
      </c>
      <c r="D14" s="2">
        <f t="shared" si="0"/>
        <v>6.6666666666666671E-3</v>
      </c>
      <c r="E14" s="5" t="s">
        <v>197</v>
      </c>
      <c r="F14" s="2">
        <f t="shared" si="1"/>
        <v>150</v>
      </c>
      <c r="G14" s="2">
        <v>0</v>
      </c>
    </row>
    <row r="15" spans="1:7" x14ac:dyDescent="0.2">
      <c r="A15" s="2">
        <v>14</v>
      </c>
      <c r="B15" s="2">
        <v>2</v>
      </c>
      <c r="C15" s="2">
        <v>80</v>
      </c>
      <c r="D15" s="2">
        <f t="shared" si="0"/>
        <v>1.2500000000000001E-2</v>
      </c>
      <c r="E15" s="5" t="s">
        <v>198</v>
      </c>
      <c r="F15" s="2">
        <f t="shared" si="1"/>
        <v>80</v>
      </c>
      <c r="G15" s="2">
        <v>0</v>
      </c>
    </row>
    <row r="16" spans="1:7" x14ac:dyDescent="0.2">
      <c r="A16" s="2">
        <v>15</v>
      </c>
      <c r="B16" s="2">
        <v>2</v>
      </c>
      <c r="C16" s="2">
        <v>100</v>
      </c>
      <c r="D16" s="2">
        <f t="shared" si="0"/>
        <v>0.01</v>
      </c>
      <c r="E16" s="5" t="s">
        <v>199</v>
      </c>
      <c r="F16" s="2">
        <f t="shared" si="1"/>
        <v>100</v>
      </c>
      <c r="G16" s="2">
        <v>0</v>
      </c>
    </row>
    <row r="17" spans="1:7" x14ac:dyDescent="0.2">
      <c r="A17" s="2">
        <v>16</v>
      </c>
      <c r="B17" s="2">
        <v>3</v>
      </c>
      <c r="C17" s="2">
        <v>120</v>
      </c>
      <c r="D17" s="2">
        <f t="shared" si="0"/>
        <v>8.3333333333333332E-3</v>
      </c>
      <c r="E17" s="5" t="s">
        <v>200</v>
      </c>
      <c r="F17" s="2">
        <f t="shared" si="1"/>
        <v>120</v>
      </c>
      <c r="G17" s="2">
        <v>0</v>
      </c>
    </row>
    <row r="18" spans="1:7" x14ac:dyDescent="0.2">
      <c r="A18" s="2">
        <v>17</v>
      </c>
      <c r="B18" s="2">
        <v>3</v>
      </c>
      <c r="C18" s="2">
        <v>140</v>
      </c>
      <c r="D18" s="2">
        <f t="shared" si="0"/>
        <v>7.1428571428571426E-3</v>
      </c>
      <c r="E18" s="5" t="s">
        <v>201</v>
      </c>
      <c r="F18" s="2">
        <f t="shared" si="1"/>
        <v>140</v>
      </c>
      <c r="G18" s="2">
        <v>0</v>
      </c>
    </row>
    <row r="19" spans="1:7" x14ac:dyDescent="0.2">
      <c r="A19" s="2">
        <v>18</v>
      </c>
      <c r="B19" s="2">
        <v>3</v>
      </c>
      <c r="C19" s="2">
        <v>200</v>
      </c>
      <c r="D19" s="2">
        <f t="shared" si="0"/>
        <v>5.0000000000000001E-3</v>
      </c>
      <c r="E19" s="5" t="s">
        <v>202</v>
      </c>
      <c r="F19" s="2">
        <f t="shared" si="1"/>
        <v>200</v>
      </c>
      <c r="G19" s="2">
        <v>0</v>
      </c>
    </row>
    <row r="20" spans="1:7" x14ac:dyDescent="0.2">
      <c r="A20" s="2">
        <v>19</v>
      </c>
      <c r="B20" s="2">
        <v>4</v>
      </c>
      <c r="C20" s="2">
        <v>0</v>
      </c>
      <c r="D20" s="2">
        <f t="shared" si="0"/>
        <v>0</v>
      </c>
      <c r="E20" s="5" t="s">
        <v>267</v>
      </c>
      <c r="F20" s="2">
        <f t="shared" si="1"/>
        <v>0</v>
      </c>
      <c r="G20" s="2">
        <v>0</v>
      </c>
    </row>
    <row r="21" spans="1:7" x14ac:dyDescent="0.2">
      <c r="A21" s="2">
        <v>20</v>
      </c>
      <c r="B21" s="2">
        <v>3</v>
      </c>
      <c r="C21" s="2">
        <v>500</v>
      </c>
      <c r="D21" s="2">
        <f t="shared" si="0"/>
        <v>2E-3</v>
      </c>
      <c r="E21" s="5" t="s">
        <v>273</v>
      </c>
      <c r="F21" s="2">
        <f t="shared" si="1"/>
        <v>500</v>
      </c>
      <c r="G21" s="2">
        <v>0</v>
      </c>
    </row>
    <row r="22" spans="1:7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292</v>
      </c>
      <c r="F22" s="2">
        <f t="shared" si="1"/>
        <v>0</v>
      </c>
      <c r="G22" s="2">
        <v>0</v>
      </c>
    </row>
    <row r="23" spans="1:7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316</v>
      </c>
      <c r="F23" s="2">
        <v>0</v>
      </c>
      <c r="G23" s="2">
        <v>0</v>
      </c>
    </row>
    <row r="24" spans="1:7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317</v>
      </c>
      <c r="F24" s="2">
        <v>0</v>
      </c>
      <c r="G24" s="2">
        <v>0</v>
      </c>
    </row>
    <row r="25" spans="1:7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318</v>
      </c>
      <c r="F25" s="2">
        <v>0</v>
      </c>
      <c r="G25" s="2">
        <v>0</v>
      </c>
    </row>
    <row r="26" spans="1:7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354</v>
      </c>
      <c r="F26" s="2">
        <v>100</v>
      </c>
      <c r="G26" s="2">
        <v>0</v>
      </c>
    </row>
    <row r="27" spans="1:7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319</v>
      </c>
      <c r="F27" s="2">
        <v>1</v>
      </c>
      <c r="G27" s="2">
        <v>0</v>
      </c>
    </row>
    <row r="28" spans="1:7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320</v>
      </c>
      <c r="F28" s="2">
        <v>0</v>
      </c>
      <c r="G28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5"/>
  <sheetViews>
    <sheetView topLeftCell="A25" workbookViewId="0">
      <selection activeCell="F46" sqref="F46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182</v>
      </c>
      <c r="C1" s="1" t="s">
        <v>25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54"/>
  <sheetViews>
    <sheetView topLeftCell="A4" workbookViewId="0">
      <selection activeCell="F42" sqref="F4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30</v>
      </c>
      <c r="B1" s="1" t="s">
        <v>38</v>
      </c>
      <c r="C1" s="1" t="s">
        <v>40</v>
      </c>
      <c r="D1" s="1" t="s">
        <v>214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  <row r="42" spans="1:4" x14ac:dyDescent="0.2">
      <c r="A42">
        <v>41</v>
      </c>
      <c r="B42" s="6">
        <v>6.0000000000000001E-3</v>
      </c>
      <c r="C42">
        <v>90</v>
      </c>
      <c r="D42">
        <f>C42/B42/(1/profit!C42)/60</f>
        <v>40</v>
      </c>
    </row>
    <row r="43" spans="1:4" x14ac:dyDescent="0.2">
      <c r="A43">
        <v>42</v>
      </c>
      <c r="B43" s="6">
        <v>6.0000000000000001E-3</v>
      </c>
      <c r="C43">
        <v>90</v>
      </c>
      <c r="D43">
        <f>C43/B43/(1/profit!C43)/60</f>
        <v>40</v>
      </c>
    </row>
    <row r="44" spans="1:4" x14ac:dyDescent="0.2">
      <c r="A44">
        <v>43</v>
      </c>
      <c r="B44" s="6">
        <v>6.0000000000000001E-3</v>
      </c>
      <c r="C44">
        <v>90</v>
      </c>
      <c r="D44">
        <f>C44/B44/(1/profit!C44)/60</f>
        <v>40</v>
      </c>
    </row>
    <row r="45" spans="1:4" x14ac:dyDescent="0.2">
      <c r="A45">
        <v>44</v>
      </c>
      <c r="B45" s="6">
        <v>6.0000000000000001E-3</v>
      </c>
      <c r="C45">
        <v>90</v>
      </c>
      <c r="D45">
        <f>C45/B45/(1/profit!C45)/60</f>
        <v>40</v>
      </c>
    </row>
    <row r="46" spans="1:4" x14ac:dyDescent="0.2">
      <c r="B46" s="6"/>
    </row>
    <row r="47" spans="1:4" x14ac:dyDescent="0.2">
      <c r="B47" s="6"/>
    </row>
    <row r="48" spans="1:4" x14ac:dyDescent="0.2">
      <c r="B48" s="6"/>
    </row>
    <row r="49" spans="2:2" x14ac:dyDescent="0.2">
      <c r="B49" s="6"/>
    </row>
    <row r="50" spans="2:2" x14ac:dyDescent="0.2">
      <c r="B50" s="6"/>
    </row>
    <row r="51" spans="2:2" x14ac:dyDescent="0.2">
      <c r="B51" s="6"/>
    </row>
    <row r="52" spans="2:2" x14ac:dyDescent="0.2">
      <c r="B52" s="6"/>
    </row>
    <row r="53" spans="2:2" x14ac:dyDescent="0.2">
      <c r="B53" s="6"/>
    </row>
    <row r="54" spans="2:2" x14ac:dyDescent="0.2">
      <c r="B54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"/>
  <sheetViews>
    <sheetView workbookViewId="0">
      <selection activeCell="K10" sqref="K10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41</v>
      </c>
      <c r="B1" s="1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F33" sqref="F33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250</v>
      </c>
      <c r="B1" s="1" t="s">
        <v>251</v>
      </c>
      <c r="C1" s="1" t="s">
        <v>183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252</v>
      </c>
      <c r="C2" s="2"/>
    </row>
    <row r="3" spans="1:10 16384:16384" x14ac:dyDescent="0.2">
      <c r="A3" s="2">
        <v>2</v>
      </c>
      <c r="B3" s="2" t="s">
        <v>279</v>
      </c>
      <c r="C3" s="2" t="s">
        <v>253</v>
      </c>
    </row>
    <row r="4" spans="1:10 16384:16384" x14ac:dyDescent="0.2">
      <c r="A4" s="2">
        <v>3</v>
      </c>
      <c r="B4" s="2" t="s">
        <v>280</v>
      </c>
      <c r="C4" s="2" t="s">
        <v>254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D23" sqref="D2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255</v>
      </c>
      <c r="B1" s="1" t="s">
        <v>256</v>
      </c>
      <c r="C1" s="1" t="s">
        <v>257</v>
      </c>
      <c r="D1" s="1" t="s">
        <v>258</v>
      </c>
      <c r="E1" s="1" t="s">
        <v>259</v>
      </c>
      <c r="F1" s="1" t="s">
        <v>260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261</v>
      </c>
      <c r="D2" s="2">
        <v>0</v>
      </c>
      <c r="E2" s="2"/>
      <c r="F2" t="s">
        <v>262</v>
      </c>
    </row>
    <row r="3" spans="1:10 16384:16384" ht="39" customHeight="1" x14ac:dyDescent="0.2">
      <c r="A3" s="2">
        <v>2</v>
      </c>
      <c r="B3" s="2">
        <v>1</v>
      </c>
      <c r="C3" s="2" t="s">
        <v>263</v>
      </c>
      <c r="D3" s="2">
        <v>1</v>
      </c>
      <c r="E3" s="2" t="s">
        <v>272</v>
      </c>
      <c r="F3" t="s">
        <v>264</v>
      </c>
    </row>
    <row r="4" spans="1:10 16384:16384" ht="63.75" customHeight="1" x14ac:dyDescent="0.2">
      <c r="A4" s="2">
        <v>3</v>
      </c>
      <c r="B4" s="2">
        <v>1</v>
      </c>
      <c r="C4" s="2" t="s">
        <v>265</v>
      </c>
      <c r="D4" s="2">
        <v>0</v>
      </c>
      <c r="E4" s="4" t="s">
        <v>271</v>
      </c>
      <c r="F4" t="s">
        <v>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5"/>
  <sheetViews>
    <sheetView workbookViewId="0">
      <selection activeCell="F18" sqref="F18"/>
    </sheetView>
  </sheetViews>
  <sheetFormatPr defaultRowHeight="14.25" x14ac:dyDescent="0.2"/>
  <cols>
    <col min="4" max="4" width="19.5" customWidth="1"/>
    <col min="5" max="5" width="15.5" customWidth="1"/>
  </cols>
  <sheetData>
    <row r="1" spans="1:10" ht="27" x14ac:dyDescent="0.2">
      <c r="A1" s="1" t="s">
        <v>334</v>
      </c>
      <c r="B1" s="1" t="s">
        <v>327</v>
      </c>
      <c r="C1" s="1" t="s">
        <v>328</v>
      </c>
      <c r="D1" s="1" t="s">
        <v>338</v>
      </c>
      <c r="E1" s="1" t="s">
        <v>339</v>
      </c>
      <c r="F1" s="1" t="s">
        <v>329</v>
      </c>
      <c r="G1" s="1" t="s">
        <v>330</v>
      </c>
      <c r="H1" s="1" t="s">
        <v>331</v>
      </c>
      <c r="I1" s="1" t="s">
        <v>332</v>
      </c>
      <c r="J1" s="1" t="s">
        <v>375</v>
      </c>
    </row>
    <row r="2" spans="1:10" x14ac:dyDescent="0.2">
      <c r="A2">
        <v>1</v>
      </c>
      <c r="B2" s="11" t="s">
        <v>383</v>
      </c>
      <c r="C2" s="11" t="s">
        <v>384</v>
      </c>
      <c r="D2" s="3" t="s">
        <v>370</v>
      </c>
      <c r="E2" s="3" t="s">
        <v>381</v>
      </c>
      <c r="F2" s="11"/>
      <c r="G2" s="11"/>
      <c r="H2" s="11"/>
      <c r="I2" s="11"/>
      <c r="J2" s="3"/>
    </row>
    <row r="3" spans="1:10" x14ac:dyDescent="0.2">
      <c r="A3">
        <v>2</v>
      </c>
      <c r="B3" s="11"/>
      <c r="C3" s="11"/>
      <c r="D3" s="11" t="s">
        <v>340</v>
      </c>
      <c r="E3" s="11" t="s">
        <v>382</v>
      </c>
      <c r="F3" s="11"/>
      <c r="G3" s="11"/>
      <c r="H3" s="11"/>
      <c r="I3" s="11"/>
      <c r="J3" s="3">
        <v>3</v>
      </c>
    </row>
    <row r="4" spans="1:10" x14ac:dyDescent="0.2">
      <c r="A4">
        <v>3</v>
      </c>
      <c r="B4" s="11" t="s">
        <v>386</v>
      </c>
      <c r="C4" s="11" t="s">
        <v>385</v>
      </c>
      <c r="D4" s="3" t="s">
        <v>370</v>
      </c>
      <c r="E4" s="3" t="s">
        <v>381</v>
      </c>
      <c r="F4" s="11"/>
      <c r="G4" s="11"/>
      <c r="H4" s="11"/>
      <c r="I4" s="11"/>
      <c r="J4" s="3"/>
    </row>
    <row r="5" spans="1:10" x14ac:dyDescent="0.2">
      <c r="A5">
        <v>4</v>
      </c>
      <c r="B5" s="11"/>
      <c r="C5" s="11"/>
      <c r="D5" s="11" t="s">
        <v>340</v>
      </c>
      <c r="E5" s="11" t="s">
        <v>382</v>
      </c>
      <c r="F5" s="11"/>
      <c r="G5" s="11"/>
      <c r="H5" s="11"/>
      <c r="I5" s="11"/>
      <c r="J5" s="3">
        <v>3</v>
      </c>
    </row>
    <row r="6" spans="1:10" x14ac:dyDescent="0.2">
      <c r="A6">
        <v>5</v>
      </c>
      <c r="B6" s="11" t="s">
        <v>387</v>
      </c>
      <c r="C6" s="11" t="s">
        <v>388</v>
      </c>
      <c r="D6" s="3" t="s">
        <v>370</v>
      </c>
      <c r="E6" s="3" t="s">
        <v>381</v>
      </c>
      <c r="F6" s="11"/>
      <c r="G6" s="11"/>
      <c r="H6" s="11"/>
      <c r="I6" s="11"/>
      <c r="J6" s="3"/>
    </row>
    <row r="7" spans="1:10" x14ac:dyDescent="0.2">
      <c r="A7">
        <v>6</v>
      </c>
      <c r="B7" s="11"/>
      <c r="C7" s="11"/>
      <c r="D7" s="11" t="s">
        <v>340</v>
      </c>
      <c r="E7" s="11" t="s">
        <v>382</v>
      </c>
      <c r="F7" s="11"/>
      <c r="G7" s="11"/>
      <c r="H7" s="11"/>
      <c r="I7" s="11"/>
      <c r="J7" s="3">
        <v>3</v>
      </c>
    </row>
    <row r="8" spans="1:10" x14ac:dyDescent="0.2">
      <c r="A8">
        <v>7</v>
      </c>
      <c r="B8" s="11" t="s">
        <v>364</v>
      </c>
      <c r="C8" s="11" t="s">
        <v>333</v>
      </c>
      <c r="D8" s="3" t="s">
        <v>370</v>
      </c>
      <c r="E8" s="3" t="s">
        <v>381</v>
      </c>
      <c r="F8" s="11"/>
      <c r="G8" s="11"/>
      <c r="H8" s="11"/>
      <c r="I8" s="11"/>
      <c r="J8" s="3"/>
    </row>
    <row r="9" spans="1:10" x14ac:dyDescent="0.2">
      <c r="A9">
        <v>8</v>
      </c>
      <c r="B9" s="3" t="s">
        <v>389</v>
      </c>
      <c r="C9" s="3" t="s">
        <v>390</v>
      </c>
      <c r="D9" s="3"/>
      <c r="E9" s="3"/>
      <c r="F9" s="3"/>
      <c r="G9" s="3"/>
      <c r="H9" s="3"/>
      <c r="I9" s="3"/>
      <c r="J9" s="3"/>
    </row>
    <row r="10" spans="1:10" x14ac:dyDescent="0.2">
      <c r="A10">
        <v>9</v>
      </c>
      <c r="B10" s="3"/>
      <c r="C10" s="3"/>
      <c r="D10" s="3" t="s">
        <v>370</v>
      </c>
      <c r="E10" s="3" t="s">
        <v>381</v>
      </c>
      <c r="F10" s="3"/>
      <c r="G10" s="3"/>
      <c r="H10" s="3"/>
      <c r="I10" s="3"/>
      <c r="J10" s="3"/>
    </row>
    <row r="11" spans="1:10" x14ac:dyDescent="0.2">
      <c r="B11" s="3"/>
      <c r="C11" s="3"/>
      <c r="D11" s="3"/>
      <c r="E11" s="3"/>
      <c r="F11" s="3"/>
      <c r="G11" s="3"/>
      <c r="H11" s="3"/>
      <c r="I11" s="3"/>
      <c r="J11" s="3"/>
    </row>
    <row r="12" spans="1:10" x14ac:dyDescent="0.2">
      <c r="B12" s="3"/>
      <c r="C12" s="3"/>
      <c r="D12" s="3"/>
      <c r="E12" s="3"/>
      <c r="F12" s="3"/>
      <c r="G12" s="3"/>
      <c r="H12" s="3"/>
      <c r="I12" s="3"/>
      <c r="J12" s="3"/>
    </row>
    <row r="13" spans="1:10" x14ac:dyDescent="0.2">
      <c r="B13" s="3"/>
      <c r="C13" s="3"/>
      <c r="D13" s="3"/>
      <c r="E13" s="3"/>
      <c r="F13" s="3"/>
      <c r="G13" s="3"/>
      <c r="H13" s="3"/>
      <c r="I13" s="3"/>
      <c r="J13" s="3"/>
    </row>
    <row r="14" spans="1:10" x14ac:dyDescent="0.2">
      <c r="B14" s="3"/>
      <c r="C14" s="3"/>
      <c r="D14" s="3"/>
      <c r="E14" s="3"/>
      <c r="F14" s="3"/>
      <c r="G14" s="3"/>
      <c r="H14" s="3"/>
      <c r="I14" s="3"/>
      <c r="J14" s="3"/>
    </row>
    <row r="15" spans="1:10" x14ac:dyDescent="0.2">
      <c r="B15" s="3"/>
      <c r="C15" s="3"/>
      <c r="D15" s="3"/>
      <c r="E15" s="3"/>
      <c r="F15" s="3"/>
      <c r="G15" s="3"/>
      <c r="H15" s="3"/>
      <c r="I15" s="3"/>
      <c r="J15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L23" sqref="L23"/>
    </sheetView>
  </sheetViews>
  <sheetFormatPr defaultRowHeight="14.25" x14ac:dyDescent="0.2"/>
  <sheetData>
    <row r="1" spans="1:2" x14ac:dyDescent="0.2">
      <c r="A1" t="s">
        <v>24</v>
      </c>
      <c r="B1" t="s">
        <v>336</v>
      </c>
    </row>
    <row r="2" spans="1:2" x14ac:dyDescent="0.2">
      <c r="A2">
        <v>1</v>
      </c>
      <c r="B2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skill</vt:lpstr>
      <vt:lpstr>box_fish_activity</vt:lpstr>
      <vt:lpstr>base_fish</vt:lpstr>
      <vt:lpstr>path</vt:lpstr>
      <vt:lpstr>laser</vt:lpstr>
      <vt:lpstr>gun</vt:lpstr>
      <vt:lpstr>dead_mode</vt:lpstr>
      <vt:lpstr>box_fish_award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2019-09-18T09:17:26Z</dcterms:modified>
</cp:coreProperties>
</file>