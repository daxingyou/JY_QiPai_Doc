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8" i="7" l="1"/>
  <c r="I138" i="7"/>
  <c r="J138" i="7"/>
  <c r="H139" i="7"/>
  <c r="J139" i="7"/>
  <c r="H140" i="7"/>
  <c r="I140" i="7"/>
  <c r="J140" i="7"/>
  <c r="H141" i="7"/>
  <c r="J141" i="7"/>
  <c r="H142" i="7"/>
  <c r="J142" i="7"/>
  <c r="H143" i="7"/>
  <c r="J143" i="7"/>
  <c r="H144" i="7"/>
  <c r="J144" i="7"/>
  <c r="L122" i="14"/>
  <c r="L123" i="14"/>
  <c r="L124" i="14"/>
  <c r="K122" i="14"/>
  <c r="K123" i="14"/>
  <c r="K124" i="14"/>
  <c r="K125" i="14"/>
  <c r="K126" i="14"/>
  <c r="K127" i="14"/>
  <c r="K128" i="14"/>
  <c r="I122" i="14"/>
  <c r="I123" i="14"/>
  <c r="I139" i="7" s="1"/>
  <c r="I124" i="14"/>
  <c r="I125" i="14"/>
  <c r="L125" i="14" s="1"/>
  <c r="I126" i="14"/>
  <c r="I142" i="7" s="1"/>
  <c r="I127" i="14"/>
  <c r="I143" i="7" s="1"/>
  <c r="I128" i="14"/>
  <c r="I144" i="7" s="1"/>
  <c r="H122" i="14"/>
  <c r="H123" i="14"/>
  <c r="H124" i="14"/>
  <c r="H125" i="14"/>
  <c r="H126" i="14"/>
  <c r="H127" i="14"/>
  <c r="H128" i="14"/>
  <c r="F122" i="14"/>
  <c r="F123" i="14"/>
  <c r="F125" i="14"/>
  <c r="F126" i="14"/>
  <c r="F127" i="14"/>
  <c r="E122" i="14"/>
  <c r="E123" i="14"/>
  <c r="E124" i="14"/>
  <c r="E125" i="14"/>
  <c r="E126" i="14"/>
  <c r="E127" i="14"/>
  <c r="E128" i="14"/>
  <c r="G95" i="5"/>
  <c r="G94" i="5"/>
  <c r="G93" i="5"/>
  <c r="G92" i="5"/>
  <c r="L126" i="14" l="1"/>
  <c r="L128" i="14"/>
  <c r="L127" i="14"/>
  <c r="I141" i="7"/>
  <c r="E107" i="14"/>
  <c r="E108" i="14"/>
  <c r="E109" i="14"/>
  <c r="E110" i="14"/>
  <c r="I107" i="14"/>
  <c r="I108" i="14"/>
  <c r="I109" i="14"/>
  <c r="I110" i="14"/>
  <c r="I111" i="14"/>
  <c r="J129" i="7" l="1"/>
  <c r="J130" i="7"/>
  <c r="J131" i="7"/>
  <c r="J132" i="7"/>
  <c r="J133" i="7"/>
  <c r="J134" i="7"/>
  <c r="J135" i="7"/>
  <c r="J136" i="7"/>
  <c r="J137" i="7"/>
  <c r="K113" i="14"/>
  <c r="K114" i="14"/>
  <c r="K115" i="14"/>
  <c r="K116" i="14"/>
  <c r="K117" i="14"/>
  <c r="K118" i="14"/>
  <c r="K119" i="14"/>
  <c r="K120" i="14"/>
  <c r="K121" i="14"/>
  <c r="I113" i="14"/>
  <c r="I129" i="7" s="1"/>
  <c r="I114" i="14"/>
  <c r="L114" i="14" s="1"/>
  <c r="I115" i="14"/>
  <c r="I131" i="7" s="1"/>
  <c r="I116" i="14"/>
  <c r="L116" i="14" s="1"/>
  <c r="I117" i="14"/>
  <c r="I133" i="7" s="1"/>
  <c r="I118" i="14"/>
  <c r="I134" i="7" s="1"/>
  <c r="I119" i="14"/>
  <c r="L119" i="14" s="1"/>
  <c r="I120" i="14"/>
  <c r="I136" i="7" s="1"/>
  <c r="I121" i="14"/>
  <c r="I137" i="7" s="1"/>
  <c r="H113" i="14"/>
  <c r="H114" i="14"/>
  <c r="H115" i="14"/>
  <c r="H116" i="14"/>
  <c r="H117" i="14"/>
  <c r="H118" i="14"/>
  <c r="H119" i="14"/>
  <c r="H120" i="14"/>
  <c r="H121" i="14"/>
  <c r="E113" i="14"/>
  <c r="H129" i="7" s="1"/>
  <c r="E114" i="14"/>
  <c r="H130" i="7" s="1"/>
  <c r="E115" i="14"/>
  <c r="F115" i="14" s="1"/>
  <c r="E116" i="14"/>
  <c r="H132" i="7" s="1"/>
  <c r="E117" i="14"/>
  <c r="F117" i="14" s="1"/>
  <c r="E118" i="14"/>
  <c r="F118" i="14" s="1"/>
  <c r="E119" i="14"/>
  <c r="H135" i="7" s="1"/>
  <c r="E120" i="14"/>
  <c r="H136" i="7" s="1"/>
  <c r="E121" i="14"/>
  <c r="F121" i="14" s="1"/>
  <c r="L120" i="14" l="1"/>
  <c r="L113" i="14"/>
  <c r="L118" i="14"/>
  <c r="L115" i="14"/>
  <c r="I130" i="7"/>
  <c r="L121" i="14"/>
  <c r="L117" i="14"/>
  <c r="I132" i="7"/>
  <c r="I135" i="7"/>
  <c r="H133" i="7"/>
  <c r="H134" i="7"/>
  <c r="F114" i="14"/>
  <c r="H137" i="7"/>
  <c r="F113" i="14"/>
  <c r="H131" i="7"/>
  <c r="F119" i="14"/>
  <c r="K111" i="14"/>
  <c r="J127" i="7" s="1"/>
  <c r="K112" i="14"/>
  <c r="J128" i="7" s="1"/>
  <c r="I127" i="7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L110" i="14"/>
  <c r="H110" i="14"/>
  <c r="F110" i="14"/>
  <c r="K109" i="14"/>
  <c r="J125" i="7" s="1"/>
  <c r="L109" i="14"/>
  <c r="H109" i="14"/>
  <c r="F109" i="14"/>
  <c r="K108" i="14"/>
  <c r="J124" i="7" s="1"/>
  <c r="L108" i="14"/>
  <c r="H108" i="14"/>
  <c r="F108" i="14"/>
  <c r="K107" i="14"/>
  <c r="J123" i="7" s="1"/>
  <c r="L107" i="14"/>
  <c r="H107" i="14"/>
  <c r="F107" i="14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31" i="14"/>
  <c r="F41" i="14"/>
  <c r="I34" i="7"/>
  <c r="H66" i="7"/>
  <c r="I56" i="7"/>
  <c r="I29" i="7"/>
  <c r="I12" i="7"/>
  <c r="J12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I26" i="7" l="1"/>
  <c r="I35" i="7"/>
  <c r="L61" i="14"/>
  <c r="I41" i="7"/>
  <c r="L77" i="14"/>
  <c r="L72" i="14"/>
  <c r="L56" i="14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<sst xmlns="http://schemas.openxmlformats.org/spreadsheetml/2006/main" count="717" uniqueCount="479">
  <si>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</si>
  <si>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</si>
  <si>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</si>
  <si>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</si>
  <si>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</si>
  <si>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</si>
  <si>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</si>
  <si>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</si>
  <si>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</si>
  <si>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</si>
  <si>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</si>
  <si>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</si>
  <si>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</si>
  <si>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</si>
  <si>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</si>
  <si>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</si>
  <si>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</si>
  <si>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</si>
  <si>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</si>
  <si>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</si>
  <si>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</si>
  <si>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</si>
  <si>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</si>
  <si>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</si>
  <si>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</si>
  <si>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</si>
  <si>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</si>
  <si>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</si>
  <si>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</si>
  <si>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</si>
  <si>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</si>
  <si>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</si>
  <si>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</si>
  <si>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</si>
  <si>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</si>
  <si>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</si>
  <si>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</si>
  <si>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</si>
  <si>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</si>
  <si>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</si>
  <si>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</si>
  <si>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</si>
  <si>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</si>
  <si>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</si>
  <si>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</si>
  <si>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</si>
  <si>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</si>
  <si>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</si>
  <si>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</si>
  <si>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</si>
  <si>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</si>
  <si>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</si>
  <si>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</si>
  <si>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</si>
  <si>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</si>
  <si>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</si>
  <si>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</si>
  <si>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</si>
  <si>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</si>
  <si>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</si>
  <si>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</si>
  <si>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</si>
  <si>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</si>
  <si>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</si>
  <si>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</si>
  <si>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</si>
  <si>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</si>
  <si>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</si>
  <si>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</si>
  <si>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</si>
  <si>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</si>
  <si>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</si>
  <si>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</si>
  <si>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</si>
  <si>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</si>
  <si>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</si>
  <si>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</si>
  <si>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</si>
  <si>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</si>
  <si>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</si>
  <si>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</si>
  <si>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</si>
  <si>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</si>
  <si>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</si>
  <si>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</si>
  <si>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</si>
  <si>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</si>
  <si>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</si>
  <si>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</si>
  <si>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</si>
  <si>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</si>
  <si>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</si>
  <si>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</si>
  <si>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</si>
  <si>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</si>
  <si>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</si>
  <si>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</si>
  <si>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</si>
  <si>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</si>
  <si>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</si>
  <si>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</si>
  <si>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</si>
  <si>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</si>
  <si>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</si>
  <si>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</si>
  <si>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</si>
  <si>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</si>
  <si>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</si>
  <si>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</si>
  <si>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</si>
  <si>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</si>
  <si>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</si>
  <si>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</si>
  <si>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</si>
  <si>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</si>
  <si>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</si>
  <si>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</si>
  <si>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</si>
  <si>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</si>
  <si>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</si>
  <si>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</si>
  <si>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</si>
  <si>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</si>
  <si>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</si>
  <si>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</si>
  <si>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</si>
  <si>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</si>
  <si>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</si>
  <si>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</si>
  <si>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</si>
  <si>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</si>
  <si>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</si>
  <si>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</si>
  <si>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</si>
  <si>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</si>
  <si>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</si>
  <si>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</si>
  <si>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</si>
  <si>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</si>
  <si>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</si>
  <si>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</si>
  <si>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</si>
  <si>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</si>
  <si>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</si>
  <si>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</si>
  <si>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</si>
  <si>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</si>
  <si>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</si>
  <si>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</si>
  <si>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</si>
  <si>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</si>
  <si>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</si>
  <si>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</si>
  <si>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</si>
  <si>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</si>
  <si>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</si>
  <si>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</si>
  <si>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</si>
  <si>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</si>
  <si>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</si>
  <si>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</si>
  <si>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</si>
  <si>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</si>
  <si>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</si>
  <si>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</si>
  <si>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</si>
  <si>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</si>
  <si>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</si>
  <si>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</si>
  <si>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</si>
  <si>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</si>
  <si>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</si>
  <si>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</si>
  <si>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</si>
  <si>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</si>
  <si>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</si>
  <si>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</si>
  <si>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</si>
  <si>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</si>
  <si>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</si>
  <si>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</si>
  <si>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</si>
  <si>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</si>
  <si>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</si>
  <si>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</si>
  <si>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</si>
  <si>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</si>
  <si>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</si>
  <si>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</si>
  <si>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</si>
  <si>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</si>
  <si>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</si>
  <si>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</si>
  <si>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</si>
  <si>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</si>
  <si>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</si>
  <si>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</si>
  <si>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</si>
  <si>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</si>
  <si>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</si>
  <si>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</si>
  <si>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</si>
  <si>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</si>
  <si>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</si>
  <si>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</si>
  <si>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</si>
  <si>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</si>
  <si>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</si>
  <si>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</si>
  <si>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</si>
  <si>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</si>
  <si>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</si>
  <si>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</si>
  <si>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</si>
  <si>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</si>
  <si>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</si>
  <si>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</si>
  <si>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</si>
  <si>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</si>
  <si>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</si>
  <si>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</si>
  <si>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200,400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</si>
  <si>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</si>
  <si>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</si>
  <si>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</si>
  <si>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</si>
  <si>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</si>
  <si>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</si>
  <si>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</si>
  <si>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</si>
  <si>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</si>
  <si>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</si>
  <si>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</si>
  <si>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</si>
  <si>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</si>
  <si>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</si>
  <si>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</si>
  <si>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</si>
  <si>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</si>
  <si>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</si>
  <si>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</si>
  <si>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</si>
  <si>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</si>
  <si>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</si>
  <si>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</si>
  <si>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</si>
  <si>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</si>
  <si>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</si>
  <si>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</si>
  <si>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</si>
  <si>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</si>
  <si>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</si>
  <si>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</si>
  <si>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</si>
  <si>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</si>
  <si>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</si>
  <si>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</si>
  <si>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</si>
  <si>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</si>
  <si>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</si>
  <si>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</si>
  <si>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</si>
  <si>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</si>
  <si>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</si>
  <si>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</si>
  <si>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</si>
  <si>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</si>
  <si>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</si>
  <si>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</si>
  <si>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</si>
  <si>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</si>
  <si>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</si>
  <si>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</si>
  <si>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</si>
  <si>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</si>
  <si>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</si>
  <si>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</si>
  <si>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</si>
  <si>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</si>
  <si>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</si>
  <si>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</si>
  <si>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</si>
  <si>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</si>
  <si>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</si>
  <si>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</si>
  <si>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</si>
  <si>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</si>
  <si>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</si>
  <si>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</si>
  <si>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</si>
  <si>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</si>
  <si>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</si>
  <si>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</si>
  <si>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</si>
  <si>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</si>
  <si>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</si>
  <si>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</si>
  <si>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</si>
  <si>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</si>
  <si>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</si>
  <si>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</si>
  <si>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</si>
  <si>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</si>
  <si>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</si>
  <si>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</si>
  <si>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</si>
  <si>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</si>
  <si>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</si>
  <si>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</si>
  <si>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</si>
  <si>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</si>
  <si>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</si>
  <si>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</si>
  <si>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</si>
  <si>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</si>
  <si>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</si>
  <si>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</si>
  <si>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</si>
  <si>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</si>
  <si>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</si>
  <si>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</si>
  <si>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</si>
  <si>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</si>
  <si>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</si>
  <si>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</si>
  <si>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</si>
  <si>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</si>
  <si>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</si>
  <si>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</si>
  <si>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</si>
  <si>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</si>
  <si>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</si>
  <si>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</si>
  <si>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</si>
  <si>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</si>
  <si>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</si>
  <si>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</si>
  <si>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</si>
  <si>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</si>
  <si>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</si>
  <si>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</si>
  <si>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</si>
  <si>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</si>
  <si>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</si>
  <si>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</si>
  <si>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</si>
  <si>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</si>
  <si>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</si>
  <si>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</si>
  <si>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</si>
  <si>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</si>
  <si>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</si>
  <si>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</si>
  <si>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</si>
  <si>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</si>
  <si>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</si>
  <si>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</si>
  <si>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</si>
  <si>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</si>
  <si>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</si>
  <si>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</si>
  <si>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</si>
  <si>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</si>
  <si>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</si>
  <si>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</si>
  <si>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</si>
  <si>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</si>
  <si>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</si>
  <si>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</si>
  <si>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</si>
  <si>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</si>
  <si>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</si>
  <si>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</si>
  <si>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</si>
  <si>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</si>
  <si>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</si>
  <si>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</si>
  <si>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</si>
  <si>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</si>
  <si>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</si>
  <si>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</si>
  <si>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</si>
  <si>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</si>
  <si>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</si>
  <si>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</si>
  <si>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</si>
  <si>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</si>
  <si>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</si>
  <si>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</si>
  <si>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</si>
  <si>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</si>
  <si>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</si>
  <si>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</si>
  <si>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</si>
  <si>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</si>
  <si>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</si>
  <si>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</si>
  <si>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</si>
  <si>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</si>
  <si>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</si>
  <si>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</si>
  <si>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</si>
  <si>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</si>
  <si>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</si>
  <si>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</si>
  <si>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</si>
  <si>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</si>
  <si>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</si>
  <si>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</si>
  <si>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</si>
  <si>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</si>
  <si>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</si>
  <si>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</si>
  <si>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</si>
  <si>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</si>
  <si>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</si>
  <si>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</si>
  <si>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</si>
  <si>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</si>
  <si>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</si>
  <si>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</si>
  <si>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</si>
  <si>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</si>
  <si>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</si>
  <si>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</si>
  <si>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</si>
  <si>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</si>
  <si>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</si>
  <si>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</si>
  <si>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</si>
  <si>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</si>
  <si>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</si>
  <si>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</si>
  <si>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</si>
  <si>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</si>
  <si>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</si>
  <si>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</si>
  <si>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</si>
  <si>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</si>
  <si>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</si>
  <si>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</si>
  <si>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</si>
  <si>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</si>
  <si>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2,</t>
    <phoneticPr fontId="1" type="noConversion"/>
  </si>
  <si>
    <t>11,4,4,</t>
    <phoneticPr fontId="1" type="noConversion"/>
  </si>
  <si>
    <t>11,8,8,</t>
    <phoneticPr fontId="1" type="noConversion"/>
  </si>
  <si>
    <t>12,3,3,</t>
    <phoneticPr fontId="1" type="noConversion"/>
  </si>
  <si>
    <t>12,6,6,</t>
    <phoneticPr fontId="1" type="noConversion"/>
  </si>
  <si>
    <t>12,11,11,</t>
    <phoneticPr fontId="1" type="noConversion"/>
  </si>
  <si>
    <t>8,6,4,</t>
    <phoneticPr fontId="1" type="noConversion"/>
  </si>
  <si>
    <t>13,</t>
    <phoneticPr fontId="1" type="noConversion"/>
  </si>
  <si>
    <t>12,</t>
    <phoneticPr fontId="1" type="noConversion"/>
  </si>
  <si>
    <t>0,400</t>
    <phoneticPr fontId="1" type="noConversion"/>
  </si>
  <si>
    <t>0,300</t>
    <phoneticPr fontId="1" type="noConversion"/>
  </si>
  <si>
    <t>0,400</t>
    <phoneticPr fontId="1" type="noConversion"/>
  </si>
  <si>
    <t>0,700</t>
    <phoneticPr fontId="1" type="noConversion"/>
  </si>
  <si>
    <t>0,700</t>
    <phoneticPr fontId="1" type="noConversion"/>
  </si>
  <si>
    <t>0,200</t>
    <phoneticPr fontId="1" type="noConversion"/>
  </si>
  <si>
    <t>0,400</t>
    <phoneticPr fontId="1" type="noConversion"/>
  </si>
  <si>
    <t>0,700</t>
    <phoneticPr fontId="1" type="noConversion"/>
  </si>
  <si>
    <t>0,0,1,2</t>
    <phoneticPr fontId="1" type="noConversion"/>
  </si>
  <si>
    <t>掉落道具模板boss</t>
    <phoneticPr fontId="1" type="noConversion"/>
  </si>
  <si>
    <t>0,0,1.5,2.5</t>
    <phoneticPr fontId="1" type="noConversion"/>
  </si>
  <si>
    <t>0,0,2,3</t>
    <phoneticPr fontId="1" type="noConversion"/>
  </si>
  <si>
    <t>掉落道具模板boss</t>
    <phoneticPr fontId="1" type="noConversion"/>
  </si>
  <si>
    <t>0,0,0.05</t>
    <phoneticPr fontId="1" type="noConversion"/>
  </si>
  <si>
    <t>掉落道具模板小鱼</t>
    <phoneticPr fontId="1" type="noConversion"/>
  </si>
  <si>
    <t>活动boss</t>
    <phoneticPr fontId="1" type="noConversion"/>
  </si>
  <si>
    <t>121,</t>
  </si>
  <si>
    <t>122,</t>
  </si>
  <si>
    <t>123,</t>
  </si>
  <si>
    <t>124,</t>
  </si>
  <si>
    <t>125,</t>
  </si>
  <si>
    <t>126,</t>
  </si>
  <si>
    <t>127,</t>
  </si>
  <si>
    <t>8,13,15,18,</t>
    <phoneticPr fontId="1" type="noConversion"/>
  </si>
  <si>
    <t>12,14,16,17,</t>
    <phoneticPr fontId="1" type="noConversion"/>
  </si>
  <si>
    <t>13,14,17,16,</t>
    <phoneticPr fontId="1" type="noConversion"/>
  </si>
  <si>
    <t>15,16,18,17,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</si>
</sst>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0" fillId="25" borderId="0" xfId="0" applyFill="1" applyAlignment="1">
      <alignment horizont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4" fillId="25" borderId="0" xfId="0" applyFont="1" applyFill="1" applyAlignment="1">
      <alignment horizontal="center" vertical="center"/>
    </xf>
    <xf numFmtId="0" fontId="0" fillId="25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44"/>
  <sheetViews>
    <sheetView topLeftCell="B1" workbookViewId="0">
      <pane ySplit="1" topLeftCell="A5" activePane="bottomLeft" state="frozen"/>
      <selection pane="bottomLeft" activeCell="O27" sqref="O27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443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211</v>
      </c>
      <c r="G7" s="42" t="s">
        <v>212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213</v>
      </c>
      <c r="F8" s="26">
        <v>10</v>
      </c>
      <c r="G8" s="42" t="s">
        <v>214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185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442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442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444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11</v>
      </c>
      <c r="R13" s="10">
        <v>4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446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24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24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12</v>
      </c>
      <c r="R14" s="10">
        <v>3</v>
      </c>
      <c r="S14" s="10">
        <v>3</v>
      </c>
    </row>
    <row r="15" spans="1:23" s="10" customFormat="1">
      <c r="A15" s="10">
        <v>14</v>
      </c>
      <c r="B15" s="10">
        <v>3</v>
      </c>
      <c r="C15" s="10" t="s">
        <v>445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31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31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11</v>
      </c>
      <c r="R15" s="10">
        <v>8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447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30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30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12</v>
      </c>
      <c r="R16" s="10">
        <v>6</v>
      </c>
      <c r="S16" s="10">
        <v>6</v>
      </c>
    </row>
    <row r="17" spans="1:20" s="10" customFormat="1">
      <c r="A17" s="10">
        <v>16</v>
      </c>
      <c r="B17" s="10">
        <v>3</v>
      </c>
      <c r="C17" s="10" t="s">
        <v>448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48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48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12</v>
      </c>
      <c r="R17" s="10">
        <v>11</v>
      </c>
      <c r="S17" s="10">
        <v>11</v>
      </c>
    </row>
    <row r="18" spans="1:20" s="10" customFormat="1">
      <c r="A18" s="10">
        <v>17</v>
      </c>
      <c r="B18" s="10">
        <v>3</v>
      </c>
      <c r="C18" s="10" t="s">
        <v>449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8</v>
      </c>
      <c r="R18" s="10">
        <v>6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476</v>
      </c>
      <c r="G23" s="18" t="s">
        <v>183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118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118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17</v>
      </c>
    </row>
    <row r="24" spans="1:20" s="18" customFormat="1">
      <c r="A24" s="18">
        <v>23</v>
      </c>
      <c r="B24" s="18">
        <v>4</v>
      </c>
      <c r="C24" s="18" t="s">
        <v>475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18</v>
      </c>
    </row>
    <row r="25" spans="1:20" s="18" customFormat="1">
      <c r="A25" s="18">
        <v>24</v>
      </c>
      <c r="B25" s="18">
        <v>4</v>
      </c>
      <c r="C25" s="18" t="s">
        <v>477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120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120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16</v>
      </c>
    </row>
    <row r="26" spans="1:20" s="18" customFormat="1">
      <c r="A26" s="18">
        <v>25</v>
      </c>
      <c r="B26" s="18">
        <v>4</v>
      </c>
      <c r="C26" s="18" t="s">
        <v>478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165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165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17</v>
      </c>
    </row>
    <row r="27" spans="1:20" s="38" customFormat="1">
      <c r="A27" s="38">
        <v>26</v>
      </c>
      <c r="B27" s="38">
        <v>1</v>
      </c>
      <c r="C27" s="38" t="s">
        <v>451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1</v>
      </c>
      <c r="C28" s="38" t="s">
        <v>450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100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100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100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100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100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100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184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100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100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362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363</v>
      </c>
      <c r="G66" s="42" t="s">
        <v>366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364</v>
      </c>
      <c r="G67" s="43" t="s">
        <v>365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244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245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246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247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248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249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250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251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252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253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254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255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256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257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258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259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260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261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262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263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264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265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266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267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268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269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270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271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338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339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340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341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342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343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344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345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281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282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283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284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346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347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348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349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350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351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352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353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354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355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313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314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315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316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356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100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357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100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358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100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359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360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100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376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377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386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387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388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389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390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391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392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393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394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  <row r="138" spans="1:17">
      <c r="A138" s="96">
        <v>137</v>
      </c>
      <c r="B138" s="96">
        <v>1</v>
      </c>
      <c r="C138" s="96" t="s">
        <v>468</v>
      </c>
      <c r="D138" s="96"/>
      <c r="E138" s="96"/>
      <c r="F138" s="96"/>
      <c r="G138" s="96"/>
      <c r="H138" s="96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150</v>
      </c>
      <c r="I138" s="96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150</v>
      </c>
      <c r="J138" s="95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K138" s="96"/>
      <c r="L138" s="96"/>
      <c r="M138" s="96"/>
      <c r="N138" s="96"/>
      <c r="O138" s="96"/>
      <c r="P138" s="96"/>
      <c r="Q138" s="94">
        <v>121</v>
      </c>
    </row>
    <row r="139" spans="1:17">
      <c r="A139" s="96">
        <v>138</v>
      </c>
      <c r="B139" s="96">
        <v>1</v>
      </c>
      <c r="C139" s="96" t="s">
        <v>469</v>
      </c>
      <c r="D139" s="96"/>
      <c r="E139" s="96"/>
      <c r="F139" s="96"/>
      <c r="G139" s="96"/>
      <c r="H139" s="96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200</v>
      </c>
      <c r="I139" s="96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200</v>
      </c>
      <c r="J139" s="95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K139" s="96"/>
      <c r="L139" s="96"/>
      <c r="M139" s="96"/>
      <c r="N139" s="96"/>
      <c r="O139" s="96"/>
      <c r="P139" s="96"/>
      <c r="Q139" s="94">
        <v>122</v>
      </c>
    </row>
    <row r="140" spans="1:17">
      <c r="A140" s="96">
        <v>139</v>
      </c>
      <c r="B140" s="96">
        <v>1</v>
      </c>
      <c r="C140" s="96" t="s">
        <v>470</v>
      </c>
      <c r="D140" s="96"/>
      <c r="E140" s="96"/>
      <c r="F140" s="96"/>
      <c r="G140" s="96"/>
      <c r="H140" s="96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250</v>
      </c>
      <c r="I140" s="96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250</v>
      </c>
      <c r="J140" s="95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K140" s="96"/>
      <c r="L140" s="96"/>
      <c r="M140" s="96"/>
      <c r="N140" s="96"/>
      <c r="O140" s="96"/>
      <c r="P140" s="96"/>
      <c r="Q140" s="94">
        <v>123</v>
      </c>
    </row>
    <row r="141" spans="1:17">
      <c r="A141" s="96">
        <v>140</v>
      </c>
      <c r="B141" s="96">
        <v>1</v>
      </c>
      <c r="C141" s="96" t="s">
        <v>471</v>
      </c>
      <c r="D141" s="96"/>
      <c r="E141" s="96"/>
      <c r="F141" s="96"/>
      <c r="G141" s="96"/>
      <c r="H141" s="96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35</v>
      </c>
      <c r="I141" s="96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35</v>
      </c>
      <c r="J141" s="95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K141" s="96"/>
      <c r="L141" s="96"/>
      <c r="M141" s="96"/>
      <c r="N141" s="96"/>
      <c r="O141" s="96"/>
      <c r="P141" s="96"/>
      <c r="Q141" s="94">
        <v>124</v>
      </c>
    </row>
    <row r="142" spans="1:17">
      <c r="A142" s="96">
        <v>141</v>
      </c>
      <c r="B142" s="96">
        <v>1</v>
      </c>
      <c r="C142" s="96" t="s">
        <v>472</v>
      </c>
      <c r="D142" s="96"/>
      <c r="E142" s="96"/>
      <c r="F142" s="96"/>
      <c r="G142" s="96"/>
      <c r="H142" s="96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40</v>
      </c>
      <c r="I142" s="96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40</v>
      </c>
      <c r="J142" s="95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K142" s="96"/>
      <c r="L142" s="96"/>
      <c r="M142" s="96"/>
      <c r="N142" s="96"/>
      <c r="O142" s="96"/>
      <c r="P142" s="96"/>
      <c r="Q142" s="94">
        <v>125</v>
      </c>
    </row>
    <row r="143" spans="1:17">
      <c r="A143" s="96">
        <v>142</v>
      </c>
      <c r="B143" s="96">
        <v>1</v>
      </c>
      <c r="C143" s="96" t="s">
        <v>473</v>
      </c>
      <c r="D143" s="96"/>
      <c r="E143" s="96"/>
      <c r="F143" s="96"/>
      <c r="G143" s="96"/>
      <c r="H143" s="96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45</v>
      </c>
      <c r="I143" s="96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45</v>
      </c>
      <c r="J143" s="95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K143" s="96"/>
      <c r="L143" s="96"/>
      <c r="M143" s="96"/>
      <c r="N143" s="96"/>
      <c r="O143" s="96"/>
      <c r="P143" s="96"/>
      <c r="Q143" s="94">
        <v>126</v>
      </c>
    </row>
    <row r="144" spans="1:17">
      <c r="A144" s="96">
        <v>143</v>
      </c>
      <c r="B144" s="96">
        <v>1</v>
      </c>
      <c r="C144" s="96" t="s">
        <v>474</v>
      </c>
      <c r="D144" s="96"/>
      <c r="E144" s="96"/>
      <c r="F144" s="96"/>
      <c r="G144" s="96"/>
      <c r="H144" s="96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65</v>
      </c>
      <c r="I144" s="96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65</v>
      </c>
      <c r="J144" s="95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K144" s="96"/>
      <c r="L144" s="96"/>
      <c r="M144" s="96"/>
      <c r="N144" s="96"/>
      <c r="O144" s="96"/>
      <c r="P144" s="96"/>
      <c r="Q144" s="94">
        <v>127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5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5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44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44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44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8"/>
  <sheetViews>
    <sheetView tabSelected="1" zoomScaleNormal="100" workbookViewId="0">
      <pane ySplit="1" topLeftCell="A47" activePane="bottomLeft" state="frozen"/>
      <selection pane="bottomLeft" activeCell="I19" sqref="A19:I19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190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379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381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380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216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217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226</v>
      </c>
      <c r="F25" s="16" t="s">
        <v>227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194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194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218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/>
      <c r="D39" s="27" t="s">
        <v>454</v>
      </c>
      <c r="E39" s="29">
        <f>LOOKUP(use_fish!B39,base_fish!A:A,base_fish!C:C)+_xlfn.IFNA(INDEX(activity!F:F,MATCH(use_fish!C39,activity!A:A,0)),0)</f>
        <v>100</v>
      </c>
      <c r="F39" s="29">
        <f t="shared" si="7"/>
        <v>0.01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</v>
      </c>
      <c r="I39" s="29">
        <f>LOOKUP(use_fish!B39,base_fish!A:A,base_fish!F:F)+_xlfn.IFNA(INDEX(activity!F:F,MATCH(use_fish!C39,activity!A:A,0)),0)</f>
        <v>100</v>
      </c>
      <c r="J39" s="28">
        <v>1</v>
      </c>
      <c r="K39" s="28">
        <f>LOOKUP(use_fish!B39,base_fish!A:A,base_fish!G:G)</f>
        <v>0</v>
      </c>
      <c r="L39" s="28">
        <f t="shared" si="8"/>
        <v>100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/>
      <c r="D40" s="27" t="s">
        <v>219</v>
      </c>
      <c r="E40" s="29">
        <f>LOOKUP(use_fish!B40,base_fish!A:A,base_fish!C:C)+_xlfn.IFNA(INDEX(activity!F:F,MATCH(use_fish!C40,activity!A:A,0)),0)</f>
        <v>100</v>
      </c>
      <c r="F40" s="29">
        <f t="shared" ref="F40:F44" si="9">1/E40</f>
        <v>0.01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</v>
      </c>
      <c r="I40" s="29">
        <f>LOOKUP(use_fish!B40,base_fish!A:A,base_fish!F:F)+_xlfn.IFNA(INDEX(activity!F:F,MATCH(use_fish!C40,activity!A:A,0)),0)</f>
        <v>100</v>
      </c>
      <c r="J40" s="28">
        <v>1</v>
      </c>
      <c r="K40" s="28">
        <f>LOOKUP(use_fish!B40,base_fish!A:A,base_fish!G:G)</f>
        <v>0</v>
      </c>
      <c r="L40" s="28">
        <f t="shared" ref="L40:L45" si="10">I40</f>
        <v>100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/>
      <c r="D41" s="27" t="s">
        <v>220</v>
      </c>
      <c r="E41" s="29">
        <f>LOOKUP(use_fish!B41,base_fish!A:A,base_fish!C:C)+_xlfn.IFNA(INDEX(activity!F:F,MATCH(use_fish!C41,activity!A:A,0)),0)</f>
        <v>100</v>
      </c>
      <c r="F41" s="29">
        <f t="shared" si="9"/>
        <v>0.01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</v>
      </c>
      <c r="I41" s="29">
        <f>LOOKUP(use_fish!B41,base_fish!A:A,base_fish!F:F)+_xlfn.IFNA(INDEX(activity!F:F,MATCH(use_fish!C41,activity!A:A,0)),0)</f>
        <v>100</v>
      </c>
      <c r="J41" s="28">
        <v>1</v>
      </c>
      <c r="K41" s="28">
        <f>LOOKUP(use_fish!B41,base_fish!A:A,base_fish!G:G)</f>
        <v>0</v>
      </c>
      <c r="L41" s="28">
        <f t="shared" si="10"/>
        <v>100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/>
      <c r="D42" s="27" t="s">
        <v>457</v>
      </c>
      <c r="E42" s="29">
        <f>LOOKUP(use_fish!B42,base_fish!A:A,base_fish!C:C)+_xlfn.IFNA(INDEX(activity!F:F,MATCH(use_fish!C42,activity!A:A,0)),0)</f>
        <v>100</v>
      </c>
      <c r="F42" s="29">
        <f t="shared" si="9"/>
        <v>0.01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</v>
      </c>
      <c r="I42" s="29">
        <f>LOOKUP(use_fish!B42,base_fish!A:A,base_fish!F:F)+_xlfn.IFNA(INDEX(activity!F:F,MATCH(use_fish!C42,activity!A:A,0)),0)</f>
        <v>100</v>
      </c>
      <c r="J42" s="28">
        <v>1</v>
      </c>
      <c r="K42" s="28">
        <f>LOOKUP(use_fish!B42,base_fish!A:A,base_fish!G:G)</f>
        <v>0</v>
      </c>
      <c r="L42" s="28">
        <f t="shared" si="10"/>
        <v>100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/>
      <c r="D44" s="27" t="s">
        <v>452</v>
      </c>
      <c r="E44" s="29">
        <f>LOOKUP(use_fish!B44,base_fish!A:A,base_fish!C:C)+_xlfn.IFNA(INDEX(activity!F:F,MATCH(use_fish!C44,activity!A:A,0)),0)</f>
        <v>100</v>
      </c>
      <c r="F44" s="29">
        <f t="shared" si="9"/>
        <v>0.01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</v>
      </c>
      <c r="I44" s="29">
        <f>LOOKUP(use_fish!B44,base_fish!A:A,base_fish!F:F)+_xlfn.IFNA(INDEX(activity!F:F,MATCH(use_fish!C44,activity!A:A,0)),0)</f>
        <v>100</v>
      </c>
      <c r="J44" s="28">
        <v>1</v>
      </c>
      <c r="K44" s="28">
        <f>LOOKUP(use_fish!B44,base_fish!A:A,base_fish!G:G)</f>
        <v>0</v>
      </c>
      <c r="L44" s="28">
        <f t="shared" si="10"/>
        <v>100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455</v>
      </c>
      <c r="E47" s="33">
        <f>LOOKUP(use_fish!B47,base_fish!A:A,base_fish!C:C)+_xlfn.IFNA(INDEX(activity!F:F,MATCH(use_fish!C47,activity!A:A,0)),0)</f>
        <v>100</v>
      </c>
      <c r="F47" s="33">
        <f t="shared" ref="F47:F50" si="12">1/E47</f>
        <v>0.01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100</v>
      </c>
      <c r="J47" s="32">
        <v>1</v>
      </c>
      <c r="K47" s="32">
        <f>LOOKUP(use_fish!B47,base_fish!A:A,base_fish!G:G)</f>
        <v>0</v>
      </c>
      <c r="L47" s="32">
        <f t="shared" si="11"/>
        <v>100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456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222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223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195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194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216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217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194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194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216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194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216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217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194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194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216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272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329</v>
      </c>
      <c r="E81" s="52">
        <v>0</v>
      </c>
      <c r="F81" s="58">
        <v>0</v>
      </c>
      <c r="G81" s="58" t="s">
        <v>272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194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216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217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194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194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216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194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216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217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194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194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216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194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216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217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194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194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216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194</v>
      </c>
      <c r="E100" s="63">
        <v>65</v>
      </c>
      <c r="F100" s="63">
        <f t="shared" ref="F100:F127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8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216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217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194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194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216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202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100</v>
      </c>
      <c r="J106" s="38">
        <v>1</v>
      </c>
      <c r="K106" s="38">
        <f>LOOKUP(use_fish!B106,base_fish!A:A,base_fish!G:G)</f>
        <v>0</v>
      </c>
      <c r="L106" s="38">
        <f t="shared" si="24"/>
        <v>100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 t="s">
        <v>453</v>
      </c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100</v>
      </c>
      <c r="J107" s="38">
        <v>1</v>
      </c>
      <c r="K107" s="38">
        <f>LOOKUP(use_fish!B107,base_fish!A:A,base_fish!G:G)</f>
        <v>0</v>
      </c>
      <c r="L107" s="38">
        <f t="shared" si="24"/>
        <v>100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 t="s">
        <v>459</v>
      </c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100</v>
      </c>
      <c r="J108" s="38">
        <v>1</v>
      </c>
      <c r="K108" s="38">
        <f>LOOKUP(use_fish!B108,base_fish!A:A,base_fish!G:G)</f>
        <v>0</v>
      </c>
      <c r="L108" s="38">
        <f t="shared" si="24"/>
        <v>100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 t="s">
        <v>459</v>
      </c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100</v>
      </c>
      <c r="J109" s="38">
        <v>1</v>
      </c>
      <c r="K109" s="38">
        <f>LOOKUP(use_fish!B109,base_fish!A:A,base_fish!G:G)</f>
        <v>0</v>
      </c>
      <c r="L109" s="38">
        <f t="shared" si="24"/>
        <v>100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 t="s">
        <v>458</v>
      </c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100</v>
      </c>
      <c r="J110" s="38">
        <v>1</v>
      </c>
      <c r="K110" s="38">
        <f>LOOKUP(use_fish!B110,base_fish!A:A,base_fish!G:G)</f>
        <v>0</v>
      </c>
      <c r="L110" s="38">
        <f t="shared" si="24"/>
        <v>100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374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375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374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活动boss+临时活动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272</v>
      </c>
      <c r="H114" s="82" t="str">
        <f>INDEX(base_fish!E:E,MATCH(use_fish!B114,base_fish!A:A,0))&amp;_xlfn.IFNA("+"&amp;INDEX(activity!G:G,MATCH(use_fish!C114,activity!A:A,0)),"")</f>
        <v>活动boss+临时活动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272</v>
      </c>
      <c r="H115" s="82" t="str">
        <f>INDEX(base_fish!E:E,MATCH(use_fish!B115,base_fish!A:A,0))&amp;_xlfn.IFNA("+"&amp;INDEX(activity!G:G,MATCH(use_fish!C115,activity!A:A,0)),"")</f>
        <v>活动boss+临时活动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272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272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272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272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  <row r="122" spans="1:15" s="96" customFormat="1">
      <c r="A122" s="94">
        <v>121</v>
      </c>
      <c r="B122" s="94">
        <v>61</v>
      </c>
      <c r="C122" s="94">
        <v>91</v>
      </c>
      <c r="D122" s="94"/>
      <c r="E122" s="95">
        <f>LOOKUP(use_fish!B122,base_fish!A:A,base_fish!C:C)+_xlfn.IFNA(INDEX(activity!F:F,MATCH(use_fish!C122,activity!A:A,0)),0)</f>
        <v>150</v>
      </c>
      <c r="F122" s="95">
        <f t="shared" si="23"/>
        <v>6.6666666666666671E-3</v>
      </c>
      <c r="G122" s="95" t="s">
        <v>272</v>
      </c>
      <c r="H122" s="97" t="str">
        <f>INDEX(base_fish!E:E,MATCH(use_fish!B122,base_fish!A:A,0))&amp;_xlfn.IFNA("+"&amp;INDEX(activity!G:G,MATCH(use_fish!C122,activity!A:A,0)),"")</f>
        <v>活动boss+临时活动</v>
      </c>
      <c r="I122" s="95">
        <f>LOOKUP(use_fish!B122,base_fish!A:A,base_fish!F:F)+_xlfn.IFNA(INDEX(activity!F:F,MATCH(use_fish!C122,activity!A:A,0)),0)</f>
        <v>150</v>
      </c>
      <c r="J122" s="96">
        <v>1</v>
      </c>
      <c r="K122" s="96">
        <f>LOOKUP(use_fish!B122,base_fish!A:A,base_fish!G:G)</f>
        <v>0</v>
      </c>
      <c r="L122" s="96">
        <f t="shared" si="24"/>
        <v>150</v>
      </c>
      <c r="M122" s="96">
        <v>1</v>
      </c>
      <c r="N122" s="96">
        <v>1</v>
      </c>
      <c r="O122" s="96">
        <v>1</v>
      </c>
    </row>
    <row r="123" spans="1:15" s="96" customFormat="1">
      <c r="A123" s="94">
        <v>122</v>
      </c>
      <c r="B123" s="94">
        <v>61</v>
      </c>
      <c r="C123" s="94">
        <v>92</v>
      </c>
      <c r="D123" s="94"/>
      <c r="E123" s="95">
        <f>LOOKUP(use_fish!B123,base_fish!A:A,base_fish!C:C)+_xlfn.IFNA(INDEX(activity!F:F,MATCH(use_fish!C123,activity!A:A,0)),0)</f>
        <v>200</v>
      </c>
      <c r="F123" s="95">
        <f t="shared" si="23"/>
        <v>5.0000000000000001E-3</v>
      </c>
      <c r="G123" s="95" t="s">
        <v>21</v>
      </c>
      <c r="H123" s="97" t="str">
        <f>INDEX(base_fish!E:E,MATCH(use_fish!B123,base_fish!A:A,0))&amp;_xlfn.IFNA("+"&amp;INDEX(activity!G:G,MATCH(use_fish!C123,activity!A:A,0)),"")</f>
        <v>活动boss+临时活动</v>
      </c>
      <c r="I123" s="95">
        <f>LOOKUP(use_fish!B123,base_fish!A:A,base_fish!F:F)+_xlfn.IFNA(INDEX(activity!F:F,MATCH(use_fish!C123,activity!A:A,0)),0)</f>
        <v>200</v>
      </c>
      <c r="J123" s="96">
        <v>1</v>
      </c>
      <c r="K123" s="96">
        <f>LOOKUP(use_fish!B123,base_fish!A:A,base_fish!G:G)</f>
        <v>0</v>
      </c>
      <c r="L123" s="96">
        <f t="shared" si="24"/>
        <v>200</v>
      </c>
      <c r="M123" s="96">
        <v>1</v>
      </c>
      <c r="N123" s="96">
        <v>1</v>
      </c>
      <c r="O123" s="96">
        <v>1</v>
      </c>
    </row>
    <row r="124" spans="1:15" s="96" customFormat="1">
      <c r="A124" s="94">
        <v>123</v>
      </c>
      <c r="B124" s="94">
        <v>61</v>
      </c>
      <c r="C124" s="94">
        <v>93</v>
      </c>
      <c r="D124" s="94"/>
      <c r="E124" s="95">
        <f>LOOKUP(use_fish!B124,base_fish!A:A,base_fish!C:C)+_xlfn.IFNA(INDEX(activity!F:F,MATCH(use_fish!C124,activity!A:A,0)),0)</f>
        <v>250</v>
      </c>
      <c r="F124" s="95">
        <v>3</v>
      </c>
      <c r="G124" s="95" t="s">
        <v>272</v>
      </c>
      <c r="H124" s="97" t="str">
        <f>INDEX(base_fish!E:E,MATCH(use_fish!B124,base_fish!A:A,0))&amp;_xlfn.IFNA("+"&amp;INDEX(activity!G:G,MATCH(use_fish!C124,activity!A:A,0)),"")</f>
        <v>活动boss+临时活动</v>
      </c>
      <c r="I124" s="95">
        <f>LOOKUP(use_fish!B124,base_fish!A:A,base_fish!F:F)+_xlfn.IFNA(INDEX(activity!F:F,MATCH(use_fish!C124,activity!A:A,0)),0)</f>
        <v>250</v>
      </c>
      <c r="J124" s="96">
        <v>1</v>
      </c>
      <c r="K124" s="96">
        <f>LOOKUP(use_fish!B124,base_fish!A:A,base_fish!G:G)</f>
        <v>0</v>
      </c>
      <c r="L124" s="96">
        <f t="shared" si="24"/>
        <v>250</v>
      </c>
      <c r="M124" s="96">
        <v>1</v>
      </c>
      <c r="N124" s="96">
        <v>1</v>
      </c>
      <c r="O124" s="96">
        <v>1</v>
      </c>
    </row>
    <row r="125" spans="1:15" s="96" customFormat="1">
      <c r="A125" s="94">
        <v>124</v>
      </c>
      <c r="B125" s="95">
        <v>15</v>
      </c>
      <c r="C125" s="94">
        <v>94</v>
      </c>
      <c r="D125" s="94"/>
      <c r="E125" s="95">
        <f>LOOKUP(use_fish!B125,base_fish!A:A,base_fish!C:C)+_xlfn.IFNA(INDEX(activity!F:F,MATCH(use_fish!C125,activity!A:A,0)),0)</f>
        <v>35</v>
      </c>
      <c r="F125" s="95">
        <f t="shared" si="23"/>
        <v>2.8571428571428571E-2</v>
      </c>
      <c r="G125" s="95" t="s">
        <v>272</v>
      </c>
      <c r="H125" s="97" t="str">
        <f>INDEX(base_fish!E:E,MATCH(use_fish!B125,base_fish!A:A,0))&amp;_xlfn.IFNA("+"&amp;INDEX(activity!G:G,MATCH(use_fish!C125,activity!A:A,0)),"")</f>
        <v>鲇鱼+临时活动</v>
      </c>
      <c r="I125" s="95">
        <f>LOOKUP(use_fish!B125,base_fish!A:A,base_fish!F:F)+_xlfn.IFNA(INDEX(activity!F:F,MATCH(use_fish!C125,activity!A:A,0)),0)</f>
        <v>35</v>
      </c>
      <c r="J125" s="96">
        <v>1</v>
      </c>
      <c r="K125" s="96">
        <f>LOOKUP(use_fish!B125,base_fish!A:A,base_fish!G:G)</f>
        <v>0</v>
      </c>
      <c r="L125" s="96">
        <f t="shared" si="24"/>
        <v>35</v>
      </c>
      <c r="M125" s="96">
        <v>1</v>
      </c>
      <c r="N125" s="96">
        <v>0</v>
      </c>
      <c r="O125" s="96">
        <v>1</v>
      </c>
    </row>
    <row r="126" spans="1:15" s="96" customFormat="1">
      <c r="A126" s="94">
        <v>125</v>
      </c>
      <c r="B126" s="95">
        <v>16</v>
      </c>
      <c r="C126" s="94">
        <v>94</v>
      </c>
      <c r="D126" s="94"/>
      <c r="E126" s="95">
        <f>LOOKUP(use_fish!B126,base_fish!A:A,base_fish!C:C)+_xlfn.IFNA(INDEX(activity!F:F,MATCH(use_fish!C126,activity!A:A,0)),0)</f>
        <v>40</v>
      </c>
      <c r="F126" s="95">
        <f t="shared" si="23"/>
        <v>2.5000000000000001E-2</v>
      </c>
      <c r="G126" s="95" t="s">
        <v>272</v>
      </c>
      <c r="H126" s="97" t="str">
        <f>INDEX(base_fish!E:E,MATCH(use_fish!B126,base_fish!A:A,0))&amp;_xlfn.IFNA("+"&amp;INDEX(activity!G:G,MATCH(use_fish!C126,activity!A:A,0)),"")</f>
        <v>鲨鱼+临时活动</v>
      </c>
      <c r="I126" s="95">
        <f>LOOKUP(use_fish!B126,base_fish!A:A,base_fish!F:F)+_xlfn.IFNA(INDEX(activity!F:F,MATCH(use_fish!C126,activity!A:A,0)),0)</f>
        <v>40</v>
      </c>
      <c r="J126" s="96">
        <v>1</v>
      </c>
      <c r="K126" s="96">
        <f>LOOKUP(use_fish!B126,base_fish!A:A,base_fish!G:G)</f>
        <v>0</v>
      </c>
      <c r="L126" s="96">
        <f t="shared" si="24"/>
        <v>40</v>
      </c>
      <c r="M126" s="96">
        <v>1</v>
      </c>
      <c r="N126" s="96">
        <v>0</v>
      </c>
      <c r="O126" s="96">
        <v>1</v>
      </c>
    </row>
    <row r="127" spans="1:15" s="96" customFormat="1">
      <c r="A127" s="94">
        <v>126</v>
      </c>
      <c r="B127" s="95">
        <v>17</v>
      </c>
      <c r="C127" s="94">
        <v>94</v>
      </c>
      <c r="D127" s="94"/>
      <c r="E127" s="95">
        <f>LOOKUP(use_fish!B127,base_fish!A:A,base_fish!C:C)+_xlfn.IFNA(INDEX(activity!F:F,MATCH(use_fish!C127,activity!A:A,0)),0)</f>
        <v>45</v>
      </c>
      <c r="F127" s="95">
        <f t="shared" si="23"/>
        <v>2.2222222222222223E-2</v>
      </c>
      <c r="G127" s="95" t="s">
        <v>21</v>
      </c>
      <c r="H127" s="97" t="str">
        <f>INDEX(base_fish!E:E,MATCH(use_fish!B127,base_fish!A:A,0))&amp;_xlfn.IFNA("+"&amp;INDEX(activity!G:G,MATCH(use_fish!C127,activity!A:A,0)),"")</f>
        <v>魔鬼鱼+临时活动</v>
      </c>
      <c r="I127" s="95">
        <f>LOOKUP(use_fish!B127,base_fish!A:A,base_fish!F:F)+_xlfn.IFNA(INDEX(activity!F:F,MATCH(use_fish!C127,activity!A:A,0)),0)</f>
        <v>45</v>
      </c>
      <c r="J127" s="96">
        <v>1</v>
      </c>
      <c r="K127" s="96">
        <f>LOOKUP(use_fish!B127,base_fish!A:A,base_fish!G:G)</f>
        <v>0</v>
      </c>
      <c r="L127" s="96">
        <f t="shared" si="24"/>
        <v>45</v>
      </c>
      <c r="M127" s="96">
        <v>1</v>
      </c>
      <c r="N127" s="96">
        <v>0</v>
      </c>
      <c r="O127" s="96">
        <v>1</v>
      </c>
    </row>
    <row r="128" spans="1:15" s="96" customFormat="1">
      <c r="A128" s="94">
        <v>127</v>
      </c>
      <c r="B128" s="95">
        <v>18</v>
      </c>
      <c r="C128" s="94">
        <v>94</v>
      </c>
      <c r="D128" s="94"/>
      <c r="E128" s="95">
        <f>LOOKUP(use_fish!B128,base_fish!A:A,base_fish!C:C)+_xlfn.IFNA(INDEX(activity!F:F,MATCH(use_fish!C128,activity!A:A,0)),0)</f>
        <v>65</v>
      </c>
      <c r="F128" s="95">
        <v>4</v>
      </c>
      <c r="G128" s="95" t="s">
        <v>272</v>
      </c>
      <c r="H128" s="97" t="str">
        <f>INDEX(base_fish!E:E,MATCH(use_fish!B128,base_fish!A:A,0))&amp;_xlfn.IFNA("+"&amp;INDEX(activity!G:G,MATCH(use_fish!C128,activity!A:A,0)),"")</f>
        <v>虎鲨+临时活动</v>
      </c>
      <c r="I128" s="95">
        <f>LOOKUP(use_fish!B128,base_fish!A:A,base_fish!F:F)+_xlfn.IFNA(INDEX(activity!F:F,MATCH(use_fish!C128,activity!A:A,0)),0)</f>
        <v>65</v>
      </c>
      <c r="J128" s="96">
        <v>1</v>
      </c>
      <c r="K128" s="96">
        <f>LOOKUP(use_fish!B128,base_fish!A:A,base_fish!G:G)</f>
        <v>0</v>
      </c>
      <c r="L128" s="96">
        <f t="shared" si="24"/>
        <v>65</v>
      </c>
      <c r="M128" s="96">
        <v>1</v>
      </c>
      <c r="N128" s="96">
        <v>0</v>
      </c>
      <c r="O128" s="9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5"/>
  <sheetViews>
    <sheetView zoomScaleNormal="100" workbookViewId="0">
      <pane ySplit="1" topLeftCell="A68" activePane="bottomLeft" state="frozen"/>
      <selection pane="bottomLeft" activeCell="I96" sqref="I96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215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193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191</v>
      </c>
      <c r="D18" s="4">
        <v>0</v>
      </c>
      <c r="E18" s="4">
        <v>0</v>
      </c>
      <c r="F18">
        <v>150</v>
      </c>
      <c r="G18" t="s">
        <v>192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203</v>
      </c>
    </row>
    <row r="20" spans="1:9">
      <c r="A20">
        <v>19</v>
      </c>
      <c r="B20">
        <v>17</v>
      </c>
      <c r="C20" s="9" t="s">
        <v>204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230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228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229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232</v>
      </c>
      <c r="D26" s="4">
        <v>0</v>
      </c>
      <c r="E26" s="4">
        <v>1</v>
      </c>
      <c r="F26">
        <v>5</v>
      </c>
      <c r="G26" t="s">
        <v>233</v>
      </c>
      <c r="H26">
        <v>30</v>
      </c>
      <c r="I26" t="s">
        <v>187</v>
      </c>
    </row>
    <row r="27" spans="1:9">
      <c r="A27">
        <v>26</v>
      </c>
      <c r="B27">
        <v>21</v>
      </c>
      <c r="C27" s="9" t="s">
        <v>235</v>
      </c>
      <c r="D27" s="4">
        <v>0</v>
      </c>
      <c r="E27" s="4">
        <v>1</v>
      </c>
      <c r="F27">
        <v>2</v>
      </c>
      <c r="G27" t="s">
        <v>234</v>
      </c>
      <c r="H27">
        <v>31</v>
      </c>
      <c r="I27" t="s">
        <v>196</v>
      </c>
    </row>
    <row r="28" spans="1:9">
      <c r="A28">
        <v>27</v>
      </c>
      <c r="B28">
        <v>21</v>
      </c>
      <c r="C28" s="9" t="s">
        <v>237</v>
      </c>
      <c r="D28" s="4">
        <v>0</v>
      </c>
      <c r="E28" s="4">
        <v>1</v>
      </c>
      <c r="F28">
        <v>6</v>
      </c>
      <c r="G28" t="s">
        <v>236</v>
      </c>
      <c r="H28">
        <v>32</v>
      </c>
      <c r="I28" t="s">
        <v>197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198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206</v>
      </c>
    </row>
    <row r="31" spans="1:9">
      <c r="A31">
        <v>30</v>
      </c>
      <c r="B31">
        <v>24</v>
      </c>
      <c r="C31" s="9" t="s">
        <v>221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208</v>
      </c>
    </row>
    <row r="32" spans="1:9">
      <c r="A32">
        <v>31</v>
      </c>
      <c r="B32">
        <v>25</v>
      </c>
      <c r="C32" t="s">
        <v>188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290</v>
      </c>
    </row>
    <row r="33" spans="1:9">
      <c r="A33">
        <v>32</v>
      </c>
      <c r="B33">
        <v>28</v>
      </c>
      <c r="C33" s="9" t="s">
        <v>231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291</v>
      </c>
    </row>
    <row r="34" spans="1:9">
      <c r="A34">
        <v>33</v>
      </c>
      <c r="B34">
        <v>29</v>
      </c>
      <c r="C34" t="s">
        <v>210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298</v>
      </c>
    </row>
    <row r="35" spans="1:9">
      <c r="A35">
        <v>34</v>
      </c>
      <c r="B35">
        <v>30</v>
      </c>
      <c r="C35" s="9" t="s">
        <v>188</v>
      </c>
      <c r="D35" s="4">
        <v>0</v>
      </c>
      <c r="E35" s="4">
        <v>0</v>
      </c>
      <c r="F35">
        <v>200</v>
      </c>
      <c r="G35" t="s">
        <v>189</v>
      </c>
      <c r="H35">
        <v>43</v>
      </c>
      <c r="I35" t="s">
        <v>294</v>
      </c>
    </row>
    <row r="36" spans="1:9">
      <c r="A36">
        <v>35</v>
      </c>
      <c r="B36">
        <v>31</v>
      </c>
      <c r="C36" t="s">
        <v>224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295</v>
      </c>
    </row>
    <row r="37" spans="1:9">
      <c r="A37">
        <v>36</v>
      </c>
      <c r="B37">
        <v>32</v>
      </c>
      <c r="C37" s="9" t="s">
        <v>225</v>
      </c>
      <c r="D37" s="4">
        <v>0</v>
      </c>
      <c r="E37" s="4">
        <v>0</v>
      </c>
      <c r="F37">
        <v>300</v>
      </c>
      <c r="G37" t="s">
        <v>199</v>
      </c>
      <c r="H37">
        <v>45</v>
      </c>
      <c r="I37" t="s">
        <v>296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200</v>
      </c>
      <c r="H38">
        <v>46</v>
      </c>
      <c r="I38" t="s">
        <v>299</v>
      </c>
    </row>
    <row r="39" spans="1:9">
      <c r="A39">
        <v>38</v>
      </c>
      <c r="B39">
        <v>38</v>
      </c>
      <c r="C39" t="s">
        <v>205</v>
      </c>
      <c r="D39" s="4">
        <v>0</v>
      </c>
      <c r="E39" s="4">
        <v>0</v>
      </c>
      <c r="F39">
        <v>250</v>
      </c>
      <c r="G39" t="s">
        <v>207</v>
      </c>
      <c r="H39">
        <v>47</v>
      </c>
      <c r="I39" t="s">
        <v>300</v>
      </c>
    </row>
    <row r="40" spans="1:9">
      <c r="A40">
        <v>39</v>
      </c>
      <c r="B40">
        <v>39</v>
      </c>
      <c r="C40" t="s">
        <v>205</v>
      </c>
      <c r="D40" s="4">
        <v>0</v>
      </c>
      <c r="E40" s="4">
        <v>0</v>
      </c>
      <c r="F40">
        <v>250</v>
      </c>
      <c r="G40" t="s">
        <v>209</v>
      </c>
    </row>
    <row r="41" spans="1:9">
      <c r="A41">
        <v>40</v>
      </c>
      <c r="B41">
        <v>21</v>
      </c>
      <c r="C41" s="9" t="s">
        <v>240</v>
      </c>
      <c r="D41" s="4">
        <v>0</v>
      </c>
      <c r="E41" s="4">
        <v>1</v>
      </c>
      <c r="F41">
        <v>2</v>
      </c>
      <c r="G41" t="s">
        <v>238</v>
      </c>
    </row>
    <row r="42" spans="1:9">
      <c r="A42">
        <v>41</v>
      </c>
      <c r="B42">
        <v>21</v>
      </c>
      <c r="C42" s="9" t="s">
        <v>241</v>
      </c>
      <c r="D42" s="4">
        <v>0</v>
      </c>
      <c r="E42" s="4">
        <v>1</v>
      </c>
      <c r="F42">
        <v>2</v>
      </c>
      <c r="G42" t="s">
        <v>239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242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243</v>
      </c>
    </row>
    <row r="45" spans="1:9" s="51" customFormat="1">
      <c r="A45" s="51">
        <v>44</v>
      </c>
      <c r="B45" s="51">
        <v>9</v>
      </c>
      <c r="C45" s="51" t="s">
        <v>273</v>
      </c>
      <c r="D45" s="4" t="s">
        <v>297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274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275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277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276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278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279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280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274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275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277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276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286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287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288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289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302</v>
      </c>
      <c r="D61" s="4">
        <v>0</v>
      </c>
      <c r="E61" s="4">
        <v>1</v>
      </c>
      <c r="F61">
        <v>1000000</v>
      </c>
      <c r="G61" t="s">
        <v>304</v>
      </c>
    </row>
    <row r="62" spans="1:7">
      <c r="A62">
        <v>61</v>
      </c>
      <c r="B62">
        <v>41</v>
      </c>
      <c r="C62" s="9" t="s">
        <v>303</v>
      </c>
      <c r="D62" s="4">
        <v>0</v>
      </c>
      <c r="E62" s="4">
        <v>1</v>
      </c>
      <c r="F62">
        <v>5000000</v>
      </c>
      <c r="G62" t="s">
        <v>305</v>
      </c>
    </row>
    <row r="63" spans="1:7">
      <c r="A63">
        <v>62</v>
      </c>
      <c r="B63">
        <v>42</v>
      </c>
      <c r="C63" s="9" t="s">
        <v>301</v>
      </c>
      <c r="D63" s="4">
        <v>0</v>
      </c>
      <c r="E63" s="4">
        <v>1</v>
      </c>
      <c r="F63">
        <v>10000000</v>
      </c>
      <c r="G63" t="s">
        <v>306</v>
      </c>
    </row>
    <row r="64" spans="1:7">
      <c r="A64">
        <v>63</v>
      </c>
      <c r="B64">
        <v>46</v>
      </c>
      <c r="C64" s="9" t="s">
        <v>292</v>
      </c>
      <c r="D64" s="4">
        <v>0</v>
      </c>
      <c r="E64" s="4">
        <v>1</v>
      </c>
      <c r="F64">
        <v>50000000</v>
      </c>
      <c r="G64" t="s">
        <v>307</v>
      </c>
    </row>
    <row r="65" spans="1:7">
      <c r="A65">
        <v>64</v>
      </c>
      <c r="B65">
        <v>47</v>
      </c>
      <c r="C65" s="9" t="s">
        <v>293</v>
      </c>
      <c r="D65" s="4">
        <v>0</v>
      </c>
      <c r="E65" s="4">
        <v>1</v>
      </c>
      <c r="F65">
        <v>100000000</v>
      </c>
      <c r="G65" t="s">
        <v>308</v>
      </c>
    </row>
    <row r="66" spans="1:7" s="55" customFormat="1">
      <c r="A66" s="55">
        <v>65</v>
      </c>
      <c r="B66" s="53">
        <v>9</v>
      </c>
      <c r="C66" s="53" t="s">
        <v>317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318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319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320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323</v>
      </c>
      <c r="D70" s="57">
        <v>1</v>
      </c>
      <c r="E70" s="57">
        <v>1</v>
      </c>
      <c r="F70" s="56">
        <v>75</v>
      </c>
      <c r="G70" s="56" t="s">
        <v>322</v>
      </c>
    </row>
    <row r="71" spans="1:7" s="60" customFormat="1">
      <c r="A71" s="60">
        <v>70</v>
      </c>
      <c r="B71" s="60">
        <v>9</v>
      </c>
      <c r="C71" s="60" t="s">
        <v>325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326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327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328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335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330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331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337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336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332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12">
      <c r="A81" s="51">
        <v>80</v>
      </c>
      <c r="B81" s="51">
        <v>9</v>
      </c>
      <c r="C81" s="51" t="s">
        <v>333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12">
      <c r="A82" s="51">
        <v>81</v>
      </c>
      <c r="B82" s="51">
        <v>9</v>
      </c>
      <c r="C82" s="51" t="s">
        <v>334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12" s="51" customFormat="1">
      <c r="A83">
        <v>82</v>
      </c>
      <c r="B83" s="73">
        <v>9</v>
      </c>
      <c r="C83" s="73" t="s">
        <v>368</v>
      </c>
      <c r="D83" s="74">
        <v>0</v>
      </c>
      <c r="E83" s="74">
        <v>1</v>
      </c>
      <c r="F83" s="73">
        <v>250</v>
      </c>
      <c r="G83" s="73" t="s">
        <v>87</v>
      </c>
    </row>
    <row r="84" spans="1:12" s="51" customFormat="1">
      <c r="A84">
        <v>83</v>
      </c>
      <c r="B84" s="73">
        <v>9</v>
      </c>
      <c r="C84" s="73" t="s">
        <v>369</v>
      </c>
      <c r="D84" s="74">
        <v>0</v>
      </c>
      <c r="E84" s="74">
        <v>1</v>
      </c>
      <c r="F84" s="73">
        <v>350</v>
      </c>
      <c r="G84" s="73" t="s">
        <v>87</v>
      </c>
    </row>
    <row r="85" spans="1:12" s="51" customFormat="1">
      <c r="A85">
        <v>84</v>
      </c>
      <c r="B85" s="73">
        <v>9</v>
      </c>
      <c r="C85" s="73" t="s">
        <v>370</v>
      </c>
      <c r="D85" s="74">
        <v>0</v>
      </c>
      <c r="E85" s="74">
        <v>1</v>
      </c>
      <c r="F85" s="73">
        <v>450</v>
      </c>
      <c r="G85" s="73" t="s">
        <v>87</v>
      </c>
    </row>
    <row r="86" spans="1:12" s="51" customFormat="1">
      <c r="A86">
        <v>85</v>
      </c>
      <c r="B86" s="73">
        <v>9</v>
      </c>
      <c r="C86" s="73" t="s">
        <v>371</v>
      </c>
      <c r="D86" s="74">
        <v>1</v>
      </c>
      <c r="E86" s="74">
        <v>1</v>
      </c>
      <c r="F86" s="73">
        <v>10</v>
      </c>
      <c r="G86" s="73" t="s">
        <v>87</v>
      </c>
    </row>
    <row r="87" spans="1:12" s="56" customFormat="1">
      <c r="A87">
        <v>86</v>
      </c>
      <c r="B87" s="56">
        <v>9</v>
      </c>
      <c r="C87" s="56" t="s">
        <v>372</v>
      </c>
      <c r="D87" s="57">
        <v>1</v>
      </c>
      <c r="E87" s="57">
        <v>1</v>
      </c>
      <c r="F87" s="56">
        <v>200</v>
      </c>
      <c r="G87" s="56" t="s">
        <v>373</v>
      </c>
    </row>
    <row r="88" spans="1:12">
      <c r="A88">
        <v>87</v>
      </c>
      <c r="B88" s="28">
        <v>9</v>
      </c>
      <c r="C88" s="28" t="s">
        <v>382</v>
      </c>
      <c r="D88" s="67">
        <v>0</v>
      </c>
      <c r="E88" s="67">
        <v>1</v>
      </c>
      <c r="F88" s="28">
        <v>250</v>
      </c>
      <c r="G88" s="28" t="s">
        <v>87</v>
      </c>
    </row>
    <row r="89" spans="1:12">
      <c r="A89">
        <v>88</v>
      </c>
      <c r="B89" s="28">
        <v>9</v>
      </c>
      <c r="C89" s="28" t="s">
        <v>383</v>
      </c>
      <c r="D89" s="67">
        <v>0</v>
      </c>
      <c r="E89" s="67">
        <v>1</v>
      </c>
      <c r="F89" s="28">
        <v>350</v>
      </c>
      <c r="G89" s="28" t="s">
        <v>87</v>
      </c>
    </row>
    <row r="90" spans="1:12">
      <c r="A90">
        <v>89</v>
      </c>
      <c r="B90" s="28">
        <v>9</v>
      </c>
      <c r="C90" s="28" t="s">
        <v>384</v>
      </c>
      <c r="D90" s="67">
        <v>0</v>
      </c>
      <c r="E90" s="67">
        <v>1</v>
      </c>
      <c r="F90" s="28">
        <v>450</v>
      </c>
      <c r="G90" s="28" t="s">
        <v>87</v>
      </c>
    </row>
    <row r="91" spans="1:12">
      <c r="A91">
        <v>90</v>
      </c>
      <c r="B91" s="28">
        <v>9</v>
      </c>
      <c r="C91" s="28" t="s">
        <v>385</v>
      </c>
      <c r="D91" s="67">
        <v>1</v>
      </c>
      <c r="E91" s="67">
        <v>1</v>
      </c>
      <c r="F91" s="28">
        <v>10</v>
      </c>
      <c r="G91" s="28" t="s">
        <v>87</v>
      </c>
    </row>
    <row r="92" spans="1:12">
      <c r="A92" s="96">
        <v>91</v>
      </c>
      <c r="B92" s="96">
        <v>9</v>
      </c>
      <c r="C92" s="96" t="s">
        <v>460</v>
      </c>
      <c r="D92" s="98">
        <v>0</v>
      </c>
      <c r="E92" s="98">
        <v>1</v>
      </c>
      <c r="F92" s="96">
        <v>150</v>
      </c>
      <c r="G92" s="96" t="str">
        <f t="shared" ref="G92:G95" si="3">LOOKUP(B92,H:H,I:I)</f>
        <v>临时活动</v>
      </c>
      <c r="H92" s="96"/>
      <c r="I92" s="96"/>
      <c r="J92" s="96"/>
      <c r="K92" s="96" t="s">
        <v>461</v>
      </c>
      <c r="L92" s="96"/>
    </row>
    <row r="93" spans="1:12">
      <c r="A93" s="96">
        <v>92</v>
      </c>
      <c r="B93" s="96">
        <v>9</v>
      </c>
      <c r="C93" s="96" t="s">
        <v>462</v>
      </c>
      <c r="D93" s="98">
        <v>0</v>
      </c>
      <c r="E93" s="98">
        <v>1</v>
      </c>
      <c r="F93" s="96">
        <v>200</v>
      </c>
      <c r="G93" s="96" t="str">
        <f t="shared" si="3"/>
        <v>临时活动</v>
      </c>
      <c r="H93" s="96"/>
      <c r="I93" s="96"/>
      <c r="J93" s="96"/>
      <c r="K93" s="96" t="s">
        <v>461</v>
      </c>
      <c r="L93" s="96"/>
    </row>
    <row r="94" spans="1:12">
      <c r="A94" s="96">
        <v>93</v>
      </c>
      <c r="B94" s="96">
        <v>9</v>
      </c>
      <c r="C94" s="96" t="s">
        <v>463</v>
      </c>
      <c r="D94" s="98">
        <v>0</v>
      </c>
      <c r="E94" s="98">
        <v>1</v>
      </c>
      <c r="F94" s="96">
        <v>250</v>
      </c>
      <c r="G94" s="96" t="str">
        <f t="shared" si="3"/>
        <v>临时活动</v>
      </c>
      <c r="H94" s="96"/>
      <c r="I94" s="96"/>
      <c r="J94" s="96"/>
      <c r="K94" s="96" t="s">
        <v>464</v>
      </c>
      <c r="L94" s="96"/>
    </row>
    <row r="95" spans="1:12">
      <c r="A95" s="96">
        <v>94</v>
      </c>
      <c r="B95" s="96">
        <v>9</v>
      </c>
      <c r="C95" s="96" t="s">
        <v>465</v>
      </c>
      <c r="D95" s="98">
        <v>1</v>
      </c>
      <c r="E95" s="98">
        <v>1</v>
      </c>
      <c r="F95" s="96">
        <v>5</v>
      </c>
      <c r="G95" s="96" t="str">
        <f t="shared" si="3"/>
        <v>临时活动</v>
      </c>
      <c r="H95" s="96"/>
      <c r="I95" s="96"/>
      <c r="J95" s="96"/>
      <c r="K95" s="96" t="s">
        <v>466</v>
      </c>
      <c r="L95" s="9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41" activePane="bottomLeft" state="frozen"/>
      <selection pane="bottomLeft" activeCell="F52" sqref="F52:F56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395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396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397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436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398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437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399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400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401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361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402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403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404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405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406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407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378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438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408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409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410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411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412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413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414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415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416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417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418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439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419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198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420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197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421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422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100</v>
      </c>
      <c r="D41" s="13">
        <f t="shared" si="3"/>
        <v>0.01</v>
      </c>
      <c r="E41" s="89" t="s">
        <v>423</v>
      </c>
      <c r="F41" s="13">
        <f t="shared" si="4"/>
        <v>100</v>
      </c>
      <c r="G41" s="13">
        <v>0</v>
      </c>
    </row>
    <row r="42" spans="1:7" s="13" customFormat="1">
      <c r="A42" s="13">
        <v>41</v>
      </c>
      <c r="B42" s="13">
        <v>1</v>
      </c>
      <c r="C42" s="13">
        <v>100</v>
      </c>
      <c r="D42" s="13">
        <f t="shared" si="3"/>
        <v>0.01</v>
      </c>
      <c r="E42" s="90" t="s">
        <v>424</v>
      </c>
      <c r="F42" s="13">
        <f t="shared" si="4"/>
        <v>100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425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100</v>
      </c>
      <c r="D44" s="13">
        <f t="shared" si="3"/>
        <v>0.01</v>
      </c>
      <c r="E44" s="90" t="s">
        <v>426</v>
      </c>
      <c r="F44" s="13">
        <f t="shared" si="4"/>
        <v>100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440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427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100</v>
      </c>
      <c r="D47" s="13">
        <f t="shared" si="3"/>
        <v>0.01</v>
      </c>
      <c r="E47" s="90" t="s">
        <v>428</v>
      </c>
      <c r="F47" s="13">
        <f t="shared" si="4"/>
        <v>100</v>
      </c>
      <c r="G47" s="13">
        <v>0</v>
      </c>
    </row>
    <row r="48" spans="1:7" s="13" customFormat="1">
      <c r="A48" s="13">
        <v>47</v>
      </c>
      <c r="B48" s="13">
        <v>1</v>
      </c>
      <c r="C48" s="13">
        <v>100</v>
      </c>
      <c r="D48" s="13">
        <f t="shared" si="3"/>
        <v>0.01</v>
      </c>
      <c r="E48" s="92" t="s">
        <v>186</v>
      </c>
      <c r="F48" s="13">
        <f t="shared" si="4"/>
        <v>100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441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429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430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431</v>
      </c>
      <c r="F52" s="50">
        <v>100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432</v>
      </c>
      <c r="F53" s="50">
        <v>100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433</v>
      </c>
      <c r="F54" s="50">
        <v>100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434</v>
      </c>
      <c r="F55" s="50">
        <v>100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435</v>
      </c>
      <c r="F56" s="50">
        <v>100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285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312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321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324</v>
      </c>
      <c r="F61" s="68">
        <v>0</v>
      </c>
      <c r="G61" s="68">
        <v>0</v>
      </c>
    </row>
    <row r="62" spans="1:7" s="13" customFormat="1">
      <c r="A62" s="95">
        <v>61</v>
      </c>
      <c r="B62" s="95">
        <v>1</v>
      </c>
      <c r="C62" s="95">
        <v>0</v>
      </c>
      <c r="D62" s="95">
        <v>0</v>
      </c>
      <c r="E62" s="95" t="s">
        <v>467</v>
      </c>
      <c r="F62" s="95">
        <v>0</v>
      </c>
      <c r="G62" s="95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367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309</v>
      </c>
      <c r="C4">
        <v>15</v>
      </c>
      <c r="D4">
        <v>0</v>
      </c>
    </row>
    <row r="5" spans="1:4 16384:16384">
      <c r="A5">
        <v>4</v>
      </c>
      <c r="B5" t="s">
        <v>310</v>
      </c>
      <c r="C5">
        <v>15</v>
      </c>
      <c r="D5">
        <v>0</v>
      </c>
    </row>
    <row r="6" spans="1:4 16384:16384">
      <c r="A6">
        <v>5</v>
      </c>
      <c r="B6" t="s">
        <v>311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201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2021-07-05T03:23:37Z</dcterms:modified>
</cp:coreProperties>
</file>